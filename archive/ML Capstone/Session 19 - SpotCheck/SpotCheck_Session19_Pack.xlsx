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Data &amp; Cleaning" sheetId="2" state="visible" r:id="rId2"/>
    <sheet name="Data Dictionary" sheetId="3" state="visible" r:id="rId3"/>
    <sheet name="Model Comparison (CV)" sheetId="4" state="visible" r:id="rId4"/>
    <sheet name="Hold-out Test" sheetId="5" state="visible" r:id="rId5"/>
    <sheet name="LR Coefficients (comparison)" sheetId="6" state="visible" r:id="rId6"/>
    <sheet name="Rating Coefficients" sheetId="7" state="visible" r:id="rId7"/>
    <sheet name="Reference Tests" sheetId="8" state="visible" r:id="rId8"/>
    <sheet name="Orange Workflow Guide" sheetId="9" state="visible" r:id="rId9"/>
    <sheet name="RF Feature Importance" sheetId="10" state="visible" r:id="rId10"/>
    <sheet name="Assumption Check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b val="1"/>
      <color rgb="FF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165" fontId="6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165" fontId="5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 wrapText="1"/>
    </xf>
    <xf numFmtId="164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9" fillId="5" borderId="2" applyAlignment="1" pivotButton="0" quotePrefix="0" xfId="0">
      <alignment vertical="top" wrapText="1"/>
    </xf>
    <xf numFmtId="164" fontId="6" fillId="0" borderId="1" applyAlignment="1" pivotButton="0" quotePrefix="0" xfId="0">
      <alignment horizontal="general" vertical="top" wrapText="1"/>
    </xf>
    <xf numFmtId="165" fontId="6" fillId="0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165" fontId="5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/>
    </xf>
    <xf numFmtId="0" fontId="7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 wrapText="1"/>
    </xf>
    <xf numFmtId="164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top" wrapText="1"/>
    </xf>
    <xf numFmtId="0" fontId="10" fillId="0" borderId="0" pivotButton="0" quotePrefix="0" xfId="0"/>
    <xf numFmtId="0" fontId="11" fillId="0" borderId="0" pivotButton="0" quotePrefix="0" xfId="0"/>
    <xf numFmtId="1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26" min="1" max="1"/>
    <col width="115" customWidth="1" style="26" min="2" max="2"/>
  </cols>
  <sheetData>
    <row r="1" ht="17.35" customHeight="1" s="27">
      <c r="A1" s="28" t="inlineStr">
        <is>
          <t>SpotCheck – Session 19 Readiness Pack</t>
        </is>
      </c>
    </row>
    <row r="3" ht="15" customHeight="1" s="27">
      <c r="A3" s="29" t="inlineStr">
        <is>
          <t>Project</t>
        </is>
      </c>
      <c r="B3" s="30" t="inlineStr">
        <is>
          <t>SpotCheck: restaurant concept, price and rating validator for Bangalore</t>
        </is>
      </c>
    </row>
    <row r="4" ht="26.85" customHeight="1" s="27">
      <c r="A4" s="29" t="inlineStr">
        <is>
          <t>Dataset</t>
        </is>
      </c>
      <c r="B4" s="30" t="inlineStr">
        <is>
          <t>Zomato Bangalore Restaurants (Kaggle, himanshupoddar/zomato-bangalore-restaurants): 51,717 scraped listings → 9,244 unique, rated restaurants after cleaning</t>
        </is>
      </c>
    </row>
    <row r="5" ht="15" customHeight="1" s="27">
      <c r="A5" s="29" t="inlineStr">
        <is>
          <t>Model 1 – Price (core)</t>
        </is>
      </c>
      <c r="B5" s="30" t="inlineStr">
        <is>
          <t>Target: cost_for_two (₹, regression). Final model: Random Forest regression (100 trees, random_state=0)</t>
        </is>
      </c>
    </row>
    <row r="6" ht="15" customHeight="1" s="27">
      <c r="A6" s="29" t="inlineStr">
        <is>
          <t>Model 2 – Rating</t>
        </is>
      </c>
      <c r="B6" s="30" t="inlineStr">
        <is>
          <t>Target: high_rating (Yes = rating ≥ 4.0; 22.8%). Final model: Logistic Regression (Ridge, C=1)</t>
        </is>
      </c>
    </row>
    <row r="7" ht="26.85" customHeight="1" s="27">
      <c r="A7" s="29" t="inlineStr">
        <is>
          <t>Final input features</t>
        </is>
      </c>
      <c r="B7" s="30" t="inlineStr">
        <is>
          <t>location, primary_type, has_bar, online_order, book_table, n_cuisines, 12 cuisine flags (c_*). The rating model also uses cost_for_two (the owner's planned price).</t>
        </is>
      </c>
    </row>
    <row r="8" ht="39.55" customHeight="1" s="27">
      <c r="A8" s="29" t="inlineStr">
        <is>
          <t>Testing approach</t>
        </is>
      </c>
      <c r="B8" s="30" t="inlineStr">
        <is>
          <t>(a) 10-fold cross-validation on all 9,244 restaurants to compare models. (b) Hold-out test: 10 restaurants set aside, the final models trained on the remaining 9,234, then tested on the 10 they never saw. The final models in the app are the 9,234-row models.</t>
        </is>
      </c>
    </row>
    <row r="9" ht="15" customHeight="1" s="27">
      <c r="A9" s="29" t="n"/>
      <c r="B9" s="30" t="n"/>
    </row>
    <row r="10" ht="15" customHeight="1" s="27">
      <c r="A10" s="31" t="inlineStr">
        <is>
          <t>Requirement</t>
        </is>
      </c>
      <c r="B10" s="31" t="inlineStr">
        <is>
          <t>Status / where to find it</t>
        </is>
      </c>
    </row>
    <row r="11" ht="26.85" customHeight="1" s="27">
      <c r="A11" s="30" t="inlineStr">
        <is>
          <t>1. Dataset downloaded, cleaned, loaded in Orange</t>
        </is>
      </c>
      <c r="B11" s="30" t="inlineStr">
        <is>
          <t>zomato_price.tab / zomato_rating.tab (full), *_train.tab (9,234), reference_tests_*.tab (10 held out). See 'Data &amp; Cleaning'.</t>
        </is>
      </c>
    </row>
    <row r="12" ht="26.85" customHeight="1" s="27">
      <c r="A12" s="30" t="inlineStr">
        <is>
          <t>2. Models trained &amp; evaluated, workflow saved</t>
        </is>
      </c>
      <c r="B12" s="30" t="inlineStr">
        <is>
          <t>SpotCheck_workflow.ows. See 'Model Comparison (CV)' and 'Hold-out Test'.</t>
        </is>
      </c>
    </row>
    <row r="13" ht="15" customHeight="1" s="27">
      <c r="A13" s="30" t="inlineStr">
        <is>
          <t>3. Target and exact input features finalised</t>
        </is>
      </c>
      <c r="B13" s="30" t="inlineStr">
        <is>
          <t>See 'Data Dictionary'.</t>
        </is>
      </c>
    </row>
    <row r="14" ht="15" customHeight="1" s="27">
      <c r="A14" s="30" t="inlineStr">
        <is>
          <t>4. Ten test inputs with model outputs</t>
        </is>
      </c>
      <c r="B14" s="30" t="inlineStr">
        <is>
          <t>See 'Reference Tests' (= the 10 held-out restaurants).</t>
        </is>
      </c>
    </row>
    <row r="15" ht="15" customHeight="1" s="27">
      <c r="A15" s="29" t="n"/>
      <c r="B15" s="30" t="n"/>
    </row>
    <row r="16" ht="80" customHeight="1" s="27">
      <c r="A16" s="29" t="inlineStr">
        <is>
          <t>Why Random Forest for price?</t>
        </is>
      </c>
      <c r="B16" s="30" t="inlineStr">
        <is>
          <t>10-fold CV on all 9,244 restaurants (Python): Random Forest R² 0.73, MAE ₹136 vs Linear Regression R² 0.61, MAE ₹164 (mean baseline MAE ₹276); Orange confirms it: RF R² 0.725, MAE ₹137 vs Linear Regression R² 0.608, MAE ₹164. Grouped by restaurant name (GroupKFold, so chain outlets never sit in both train and test), RF still leads: R² 0.72 vs 0.61. Linear Regression fails its assumption checks (non-linearity, unequal error spread, non-normal errors; see 'Assumption Checks'). The app loads the trained model, so a formula is no longer needed. Most important inputs: Restaurant type, Serves alcohol, Table booking.</t>
        </is>
      </c>
    </row>
    <row r="17" ht="55" customHeight="1" s="27">
      <c r="A17" s="29" t="inlineStr">
        <is>
          <t>Why Logistic Regression for rating?</t>
        </is>
      </c>
      <c r="B17" s="30" t="inlineStr">
        <is>
          <t>10-fold CV (Orange, target 4.0+): AUC 0.811, close to Random Forest (0.825) and well above the tree (0.729). Random Forest is slightly ahead, but Logistic Regression gives smooth, explainable probabilities for what-if comparisons. The Python model the app loads reproduces Orange's P(4.0+) within 0.002 on all 10 hold-out restaurants.</t>
        </is>
      </c>
    </row>
    <row r="18" ht="55" customHeight="1" s="27">
      <c r="A18" s="29" t="inlineStr">
        <is>
          <t>Hold-out result</t>
        </is>
      </c>
      <c r="B18" s="30" t="inlineStr">
        <is>
          <t>Price: Random Forest (Python, the model the app loads) MAE ₹152 on the 10 unseen restaurants (mean baseline ₹433; Orange RF ₹152; Linear Regression ₹185). Rating: Logistic Regression (Python, loaded by the app) 9/10 correct at 0.5, hold-out AUC 0.917 (Orange: 0.917). Ten rows are too few to judge accuracy and they were picked for variety, not at random, so cross-validation remains the main evidence. The hold-out shows the models work on unseen data.</t>
        </is>
      </c>
    </row>
    <row r="19" ht="39.55" customHeight="1" s="27">
      <c r="A19" s="29" t="inlineStr">
        <is>
          <t>Honest limitations</t>
        </is>
      </c>
      <c r="B19" s="30" t="inlineStr">
        <is>
          <t>Ratings depend on food and service, which are not in the data. Closed restaurants are missing (survivorship bias). The data is a single Bangalore scrape (about 2019). Correlation is not causation: 'book_table' marks premium formats; it doesn't raise ratings by itself.</t>
        </is>
      </c>
    </row>
    <row r="20" ht="30" customHeight="1" s="27">
      <c r="A20" s="29" t="inlineStr">
        <is>
          <t>Integration</t>
        </is>
      </c>
      <c r="B20" s="30" t="inlineStr">
        <is>
          <t>Python app (Streamlit) → code on GitHub → Streamlit Community Cloud (confirmed by facilitator). The app loads price_model.joblib / rating_model.joblib through predict.py; models are not coded as formulas.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6" min="1" max="1"/>
    <col width="85" customWidth="1" style="26" min="2" max="2"/>
    <col width="80" customWidth="1" style="26" min="3" max="3"/>
  </cols>
  <sheetData>
    <row r="1" ht="17.35" customHeight="1" s="27">
      <c r="A1" s="28" t="inlineStr">
        <is>
          <t>Data source &amp; cleaning steps</t>
        </is>
      </c>
    </row>
    <row r="3" ht="15" customHeight="1" s="27">
      <c r="A3" s="32" t="inlineStr">
        <is>
          <t>Step</t>
        </is>
      </c>
      <c r="B3" s="32" t="inlineStr">
        <is>
          <t>Action</t>
        </is>
      </c>
      <c r="C3" s="32" t="inlineStr">
        <is>
          <t>Result / reason</t>
        </is>
      </c>
    </row>
    <row r="4" ht="15" customHeight="1" s="27">
      <c r="A4" s="33" t="inlineStr">
        <is>
          <t>1</t>
        </is>
      </c>
      <c r="B4" s="33" t="inlineStr">
        <is>
          <t>Loaded zomato.csv</t>
        </is>
      </c>
      <c r="C4" s="33" t="inlineStr">
        <is>
          <t>51,717 rows × 17 columns</t>
        </is>
      </c>
    </row>
    <row r="5" ht="15" customHeight="1" s="27">
      <c r="A5" s="33" t="inlineStr">
        <is>
          <t>2</t>
        </is>
      </c>
      <c r="B5" s="33" t="inlineStr">
        <is>
          <t>Removed duplicate restaurants (same name + address)</t>
        </is>
      </c>
      <c r="C5" s="33" t="inlineStr">
        <is>
          <t>→ 12,499</t>
        </is>
      </c>
    </row>
    <row r="6" ht="15" customHeight="1" s="27">
      <c r="A6" s="33" t="inlineStr">
        <is>
          <t>3</t>
        </is>
      </c>
      <c r="B6" s="33" t="inlineStr">
        <is>
          <t>Parsed ratings ('4.1/5'); dropped NEW, '-' and blank ratings</t>
        </is>
      </c>
      <c r="C6" s="33" t="inlineStr">
        <is>
          <t>→ 9,316</t>
        </is>
      </c>
    </row>
    <row r="7" ht="15" customHeight="1" s="27">
      <c r="A7" s="33" t="inlineStr">
        <is>
          <t>4</t>
        </is>
      </c>
      <c r="B7" s="33" t="inlineStr">
        <is>
          <t>Parsed cost ('1,200' → 1200); dropped rows missing cost, location, type or cuisines</t>
        </is>
      </c>
      <c r="C7" s="33" t="inlineStr">
        <is>
          <t>→ 9,244 final rows</t>
        </is>
      </c>
    </row>
    <row r="8" ht="26.85" customHeight="1" s="27">
      <c r="A8" s="33" t="inlineStr">
        <is>
          <t>5</t>
        </is>
      </c>
      <c r="B8" s="33" t="inlineStr">
        <is>
          <t>Dropped post-opening or ID fields: votes, reviews_list, dish_liked, menu_item, url, phone, address, listed_in(*)</t>
        </is>
      </c>
      <c r="C8" s="33" t="inlineStr">
        <is>
          <t>They only exist after opening, so using them would leak the outcome</t>
        </is>
      </c>
    </row>
    <row r="9" ht="15" customHeight="1" s="27">
      <c r="A9" s="33" t="inlineStr">
        <is>
          <t>6</t>
        </is>
      </c>
      <c r="B9" s="33" t="inlineStr">
        <is>
          <t>primary_type = first listed restaurant type; types with &lt; 100 restaurants grouped as 'Other'</t>
        </is>
      </c>
      <c r="C9" s="33" t="inlineStr">
        <is>
          <t>12 categories</t>
        </is>
      </c>
    </row>
    <row r="10" ht="15" customHeight="1" s="27">
      <c r="A10" s="33" t="inlineStr">
        <is>
          <t>7</t>
        </is>
      </c>
      <c r="B10" s="33" t="inlineStr">
        <is>
          <t>has_bar = Yes if type mentions Bar, Pub, Lounge or Microbrewery</t>
        </is>
      </c>
      <c r="C10" s="33" t="n"/>
    </row>
    <row r="11" ht="15" customHeight="1" s="27">
      <c r="A11" s="33" t="inlineStr">
        <is>
          <t>8</t>
        </is>
      </c>
      <c r="B11" s="33" t="inlineStr">
        <is>
          <t>Locations with &lt; 60 restaurants grouped as 'Other'</t>
        </is>
      </c>
      <c r="C11" s="33" t="inlineStr">
        <is>
          <t>40 categories</t>
        </is>
      </c>
    </row>
    <row r="12" ht="26.85" customHeight="1" s="27">
      <c r="A12" s="33" t="inlineStr">
        <is>
          <t>9</t>
        </is>
      </c>
      <c r="B12" s="33" t="inlineStr">
        <is>
          <t>Yes/No flags for the 12 most common cuisines, plus n_cuisines</t>
        </is>
      </c>
      <c r="C12" s="33" t="inlineStr">
        <is>
          <t>North Indian, Chinese, South Indian, Fast Food, Biryani, Desserts, Beverages, Continental, Cafe, Street Food, Italian, Bakery</t>
        </is>
      </c>
    </row>
    <row r="13" ht="15" customHeight="1" s="27">
      <c r="A13" s="33" t="inlineStr">
        <is>
          <t>10</t>
        </is>
      </c>
      <c r="B13" s="33" t="inlineStr">
        <is>
          <t>Target high_rating = Yes if rating ≥ 4.0</t>
        </is>
      </c>
      <c r="C13" s="33" t="inlineStr">
        <is>
          <t>Yes 22.8% / No 77.2%</t>
        </is>
      </c>
    </row>
    <row r="14" ht="26.85" customHeight="1" s="27">
      <c r="A14" s="33" t="inlineStr">
        <is>
          <t>11</t>
        </is>
      </c>
      <c r="B14" s="33" t="inlineStr">
        <is>
          <t>Hold-out split: 10 restaurants set aside (T01–T10)</t>
        </is>
      </c>
      <c r="C14" s="33" t="inlineStr">
        <is>
          <t>Training set = 9,234 rows (zomato_*_train.tab); test set = 10 rows (reference_tests_*.tab)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6" min="1" max="1"/>
    <col width="18" customWidth="1" style="26" min="2" max="2"/>
    <col width="48" customWidth="1" style="26" min="3" max="3"/>
    <col width="42" customWidth="1" style="26" min="4" max="4"/>
  </cols>
  <sheetData>
    <row r="1" ht="17.35" customHeight="1" s="27">
      <c r="A1" s="28" t="inlineStr">
        <is>
          <t>Variables</t>
        </is>
      </c>
    </row>
    <row r="3" ht="15" customHeight="1" s="27">
      <c r="A3" s="32" t="inlineStr">
        <is>
          <t>Variable</t>
        </is>
      </c>
      <c r="B3" s="32" t="inlineStr">
        <is>
          <t>Type</t>
        </is>
      </c>
      <c r="C3" s="32" t="inlineStr">
        <is>
          <t>Meaning</t>
        </is>
      </c>
      <c r="D3" s="32" t="inlineStr">
        <is>
          <t>Role</t>
        </is>
      </c>
    </row>
    <row r="4" ht="15" customHeight="1" s="27">
      <c r="A4" s="33" t="inlineStr">
        <is>
          <t>location</t>
        </is>
      </c>
      <c r="B4" s="33" t="inlineStr">
        <is>
          <t>Categorical (40)</t>
        </is>
      </c>
      <c r="C4" s="33" t="inlineStr">
        <is>
          <t>Bangalore area</t>
        </is>
      </c>
      <c r="D4" s="33" t="inlineStr">
        <is>
          <t>Input – both models</t>
        </is>
      </c>
    </row>
    <row r="5" ht="15" customHeight="1" s="27">
      <c r="A5" s="33" t="inlineStr">
        <is>
          <t>primary_type</t>
        </is>
      </c>
      <c r="B5" s="33" t="inlineStr">
        <is>
          <t>Categorical (12)</t>
        </is>
      </c>
      <c r="C5" s="33" t="inlineStr">
        <is>
          <t>Format: Quick Bites, Casual Dining, Cafe…</t>
        </is>
      </c>
      <c r="D5" s="33" t="inlineStr">
        <is>
          <t>Input – both</t>
        </is>
      </c>
    </row>
    <row r="6" ht="15" customHeight="1" s="27">
      <c r="A6" s="33" t="inlineStr">
        <is>
          <t>has_bar</t>
        </is>
      </c>
      <c r="B6" s="33" t="inlineStr">
        <is>
          <t>Yes/No</t>
        </is>
      </c>
      <c r="C6" s="33" t="inlineStr">
        <is>
          <t>Serves alcohol</t>
        </is>
      </c>
      <c r="D6" s="33" t="inlineStr">
        <is>
          <t>Input – both</t>
        </is>
      </c>
    </row>
    <row r="7" ht="15" customHeight="1" s="27">
      <c r="A7" s="33" t="inlineStr">
        <is>
          <t>online_order</t>
        </is>
      </c>
      <c r="B7" s="33" t="inlineStr">
        <is>
          <t>Yes/No</t>
        </is>
      </c>
      <c r="C7" s="33" t="inlineStr">
        <is>
          <t>Accepts online orders</t>
        </is>
      </c>
      <c r="D7" s="33" t="inlineStr">
        <is>
          <t>Input – both</t>
        </is>
      </c>
    </row>
    <row r="8" ht="15" customHeight="1" s="27">
      <c r="A8" s="33" t="inlineStr">
        <is>
          <t>book_table</t>
        </is>
      </c>
      <c r="B8" s="33" t="inlineStr">
        <is>
          <t>Yes/No</t>
        </is>
      </c>
      <c r="C8" s="33" t="inlineStr">
        <is>
          <t>Offers table booking</t>
        </is>
      </c>
      <c r="D8" s="33" t="inlineStr">
        <is>
          <t>Input – both</t>
        </is>
      </c>
    </row>
    <row r="9" ht="15" customHeight="1" s="27">
      <c r="A9" s="33" t="inlineStr">
        <is>
          <t>n_cuisines</t>
        </is>
      </c>
      <c r="B9" s="33" t="inlineStr">
        <is>
          <t>Numeric</t>
        </is>
      </c>
      <c r="C9" s="33" t="inlineStr">
        <is>
          <t>Number of cuisines offered</t>
        </is>
      </c>
      <c r="D9" s="33" t="inlineStr">
        <is>
          <t>Input – both</t>
        </is>
      </c>
    </row>
    <row r="10" ht="15" customHeight="1" s="27">
      <c r="A10" s="33" t="inlineStr">
        <is>
          <t>c_North_Indian</t>
        </is>
      </c>
      <c r="B10" s="33" t="inlineStr">
        <is>
          <t>Yes/No</t>
        </is>
      </c>
      <c r="C10" s="33" t="inlineStr">
        <is>
          <t>Serves North Indian</t>
        </is>
      </c>
      <c r="D10" s="33" t="inlineStr">
        <is>
          <t>Input – both</t>
        </is>
      </c>
    </row>
    <row r="11" ht="15" customHeight="1" s="27">
      <c r="A11" s="33" t="inlineStr">
        <is>
          <t>c_Chinese</t>
        </is>
      </c>
      <c r="B11" s="33" t="inlineStr">
        <is>
          <t>Yes/No</t>
        </is>
      </c>
      <c r="C11" s="33" t="inlineStr">
        <is>
          <t>Serves Chinese</t>
        </is>
      </c>
      <c r="D11" s="33" t="inlineStr">
        <is>
          <t>Input – both</t>
        </is>
      </c>
    </row>
    <row r="12" ht="15" customHeight="1" s="27">
      <c r="A12" s="33" t="inlineStr">
        <is>
          <t>c_South_Indian</t>
        </is>
      </c>
      <c r="B12" s="33" t="inlineStr">
        <is>
          <t>Yes/No</t>
        </is>
      </c>
      <c r="C12" s="33" t="inlineStr">
        <is>
          <t>Serves South Indian</t>
        </is>
      </c>
      <c r="D12" s="33" t="inlineStr">
        <is>
          <t>Input – both</t>
        </is>
      </c>
    </row>
    <row r="13" ht="15" customHeight="1" s="27">
      <c r="A13" s="33" t="inlineStr">
        <is>
          <t>c_Fast_Food</t>
        </is>
      </c>
      <c r="B13" s="33" t="inlineStr">
        <is>
          <t>Yes/No</t>
        </is>
      </c>
      <c r="C13" s="33" t="inlineStr">
        <is>
          <t>Serves Fast Food</t>
        </is>
      </c>
      <c r="D13" s="33" t="inlineStr">
        <is>
          <t>Input – both</t>
        </is>
      </c>
    </row>
    <row r="14" ht="15" customHeight="1" s="27">
      <c r="A14" s="33" t="inlineStr">
        <is>
          <t>c_Biryani</t>
        </is>
      </c>
      <c r="B14" s="33" t="inlineStr">
        <is>
          <t>Yes/No</t>
        </is>
      </c>
      <c r="C14" s="33" t="inlineStr">
        <is>
          <t>Serves Biryani</t>
        </is>
      </c>
      <c r="D14" s="33" t="inlineStr">
        <is>
          <t>Input – both</t>
        </is>
      </c>
    </row>
    <row r="15" ht="15" customHeight="1" s="27">
      <c r="A15" s="33" t="inlineStr">
        <is>
          <t>c_Desserts</t>
        </is>
      </c>
      <c r="B15" s="33" t="inlineStr">
        <is>
          <t>Yes/No</t>
        </is>
      </c>
      <c r="C15" s="33" t="inlineStr">
        <is>
          <t>Serves Desserts</t>
        </is>
      </c>
      <c r="D15" s="33" t="inlineStr">
        <is>
          <t>Input – both</t>
        </is>
      </c>
    </row>
    <row r="16" ht="15" customHeight="1" s="27">
      <c r="A16" s="33" t="inlineStr">
        <is>
          <t>c_Beverages</t>
        </is>
      </c>
      <c r="B16" s="33" t="inlineStr">
        <is>
          <t>Yes/No</t>
        </is>
      </c>
      <c r="C16" s="33" t="inlineStr">
        <is>
          <t>Serves Beverages</t>
        </is>
      </c>
      <c r="D16" s="33" t="inlineStr">
        <is>
          <t>Input – both</t>
        </is>
      </c>
    </row>
    <row r="17" ht="15" customHeight="1" s="27">
      <c r="A17" s="33" t="inlineStr">
        <is>
          <t>c_Continental</t>
        </is>
      </c>
      <c r="B17" s="33" t="inlineStr">
        <is>
          <t>Yes/No</t>
        </is>
      </c>
      <c r="C17" s="33" t="inlineStr">
        <is>
          <t>Serves Continental</t>
        </is>
      </c>
      <c r="D17" s="33" t="inlineStr">
        <is>
          <t>Input – both</t>
        </is>
      </c>
    </row>
    <row r="18" ht="15" customHeight="1" s="27">
      <c r="A18" s="33" t="inlineStr">
        <is>
          <t>c_Cafe</t>
        </is>
      </c>
      <c r="B18" s="33" t="inlineStr">
        <is>
          <t>Yes/No</t>
        </is>
      </c>
      <c r="C18" s="33" t="inlineStr">
        <is>
          <t>Serves Cafe</t>
        </is>
      </c>
      <c r="D18" s="33" t="inlineStr">
        <is>
          <t>Input – both</t>
        </is>
      </c>
    </row>
    <row r="19" ht="15" customHeight="1" s="27">
      <c r="A19" s="33" t="inlineStr">
        <is>
          <t>c_Street_Food</t>
        </is>
      </c>
      <c r="B19" s="33" t="inlineStr">
        <is>
          <t>Yes/No</t>
        </is>
      </c>
      <c r="C19" s="33" t="inlineStr">
        <is>
          <t>Serves Street Food</t>
        </is>
      </c>
      <c r="D19" s="33" t="inlineStr">
        <is>
          <t>Input – both</t>
        </is>
      </c>
    </row>
    <row r="20" ht="15" customHeight="1" s="27">
      <c r="A20" s="33" t="inlineStr">
        <is>
          <t>c_Italian</t>
        </is>
      </c>
      <c r="B20" s="33" t="inlineStr">
        <is>
          <t>Yes/No</t>
        </is>
      </c>
      <c r="C20" s="33" t="inlineStr">
        <is>
          <t>Serves Italian</t>
        </is>
      </c>
      <c r="D20" s="33" t="inlineStr">
        <is>
          <t>Input – both</t>
        </is>
      </c>
    </row>
    <row r="21" ht="15" customHeight="1" s="27">
      <c r="A21" s="33" t="inlineStr">
        <is>
          <t>c_Bakery</t>
        </is>
      </c>
      <c r="B21" s="33" t="inlineStr">
        <is>
          <t>Yes/No</t>
        </is>
      </c>
      <c r="C21" s="33" t="inlineStr">
        <is>
          <t>Serves Bakery</t>
        </is>
      </c>
      <c r="D21" s="33" t="inlineStr">
        <is>
          <t>Input – both</t>
        </is>
      </c>
    </row>
    <row r="22" ht="26.85" customHeight="1" s="27">
      <c r="A22" s="34" t="inlineStr">
        <is>
          <t>cost_for_two</t>
        </is>
      </c>
      <c r="B22" s="34" t="inlineStr">
        <is>
          <t>Numeric (₹)</t>
        </is>
      </c>
      <c r="C22" s="34" t="inlineStr">
        <is>
          <t>Approximate cost for two</t>
        </is>
      </c>
      <c r="D22" s="34" t="inlineStr">
        <is>
          <t>TARGET of price model; input to rating model</t>
        </is>
      </c>
    </row>
    <row r="23" ht="15" customHeight="1" s="27">
      <c r="A23" s="33" t="inlineStr">
        <is>
          <t>rating</t>
        </is>
      </c>
      <c r="B23" s="33" t="inlineStr">
        <is>
          <t>Numeric (1–5)</t>
        </is>
      </c>
      <c r="C23" s="33" t="inlineStr">
        <is>
          <t>Zomato rating</t>
        </is>
      </c>
      <c r="D23" s="33" t="inlineStr">
        <is>
          <t>Used only to create high_rating</t>
        </is>
      </c>
    </row>
    <row r="24" ht="15" customHeight="1" s="27">
      <c r="A24" s="34" t="inlineStr">
        <is>
          <t>high_rating</t>
        </is>
      </c>
      <c r="B24" s="34" t="inlineStr">
        <is>
          <t>Yes/No</t>
        </is>
      </c>
      <c r="C24" s="34" t="inlineStr">
        <is>
          <t>Rating ≥ 4.0</t>
        </is>
      </c>
      <c r="D24" s="34" t="inlineStr">
        <is>
          <t>TARGET of rating model</t>
        </is>
      </c>
    </row>
    <row r="25" ht="15" customHeight="1" s="27">
      <c r="A25" s="33" t="inlineStr">
        <is>
          <t>restaurant_name</t>
        </is>
      </c>
      <c r="B25" s="33" t="inlineStr">
        <is>
          <t>Text</t>
        </is>
      </c>
      <c r="C25" s="33" t="inlineStr">
        <is>
          <t>Name</t>
        </is>
      </c>
      <c r="D25" s="33" t="inlineStr">
        <is>
          <t>Meta (ID only)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26" min="1" max="1"/>
    <col width="13" customWidth="1" style="26" min="2" max="4"/>
    <col width="12" customWidth="1" style="26" min="5" max="5"/>
    <col width="34" customWidth="1" style="26" min="6" max="6"/>
    <col width="13" customWidth="1" style="27" min="7" max="7"/>
    <col width="13" customWidth="1" style="27" min="8" max="8"/>
    <col width="13" customWidth="1" style="27" min="9" max="9"/>
    <col width="13" customWidth="1" style="27" min="10" max="10"/>
    <col width="13" customWidth="1" style="27" min="11" max="11"/>
    <col width="13" customWidth="1" style="27" min="12" max="12"/>
  </cols>
  <sheetData>
    <row r="1" ht="17.35" customHeight="1" s="27">
      <c r="A1" s="28" t="inlineStr">
        <is>
          <t>Price – 10-fold cross-validation on all 9,244 restaurants</t>
        </is>
      </c>
      <c r="F1" s="35" t="inlineStr">
        <is>
          <t>Price – Python check: 10-fold KFold vs 10-fold GroupKFold (grouped by restaurant_name)</t>
        </is>
      </c>
    </row>
    <row r="3" ht="15" customHeight="1" s="27">
      <c r="A3" s="32" t="inlineStr">
        <is>
          <t>Model</t>
        </is>
      </c>
      <c r="B3" s="32" t="inlineStr">
        <is>
          <t>RMSE (₹)</t>
        </is>
      </c>
      <c r="C3" s="32" t="inlineStr">
        <is>
          <t>MAE (₹)</t>
        </is>
      </c>
      <c r="D3" s="32" t="inlineStr">
        <is>
          <t>R²</t>
        </is>
      </c>
      <c r="F3" s="36" t="inlineStr">
        <is>
          <t>Model</t>
        </is>
      </c>
      <c r="G3" s="36" t="inlineStr">
        <is>
          <t>KFold MAE (₹)</t>
        </is>
      </c>
      <c r="H3" s="36" t="inlineStr">
        <is>
          <t>KFold RMSE (₹)</t>
        </is>
      </c>
      <c r="I3" s="36" t="inlineStr">
        <is>
          <t>KFold R²</t>
        </is>
      </c>
      <c r="J3" s="36" t="inlineStr">
        <is>
          <t>GroupKFold MAE (₹)</t>
        </is>
      </c>
      <c r="K3" s="36" t="inlineStr">
        <is>
          <t>GroupKFold RMSE (₹)</t>
        </is>
      </c>
      <c r="L3" s="36" t="inlineStr">
        <is>
          <t>GroupKFold R²</t>
        </is>
      </c>
    </row>
    <row r="4" ht="15" customHeight="1" s="27">
      <c r="A4" s="33" t="inlineStr">
        <is>
          <t>Mean (baseline)</t>
        </is>
      </c>
      <c r="B4" s="37" t="n">
        <v>426.866</v>
      </c>
      <c r="C4" s="37" t="n">
        <v>276.071</v>
      </c>
      <c r="D4" s="38" t="n">
        <v>-0</v>
      </c>
      <c r="F4" s="39" t="inlineStr">
        <is>
          <t>Mean (baseline)</t>
        </is>
      </c>
      <c r="G4" s="40" t="n">
        <v>276.1608239355492</v>
      </c>
      <c r="H4" s="40" t="n">
        <v>426.9472838898497</v>
      </c>
      <c r="I4" s="41" t="n">
        <v>-0.0005040240562623755</v>
      </c>
      <c r="J4" s="40" t="n">
        <v>276.185433617824</v>
      </c>
      <c r="K4" s="40" t="n">
        <v>426.9322536834388</v>
      </c>
      <c r="L4" s="41" t="n">
        <v>-0.0004335820233942744</v>
      </c>
    </row>
    <row r="5" ht="15" customHeight="1" s="27">
      <c r="A5" s="42" t="inlineStr">
        <is>
          <t>Linear Regression (OLS)</t>
        </is>
      </c>
      <c r="B5" s="43" t="n">
        <v>267.161</v>
      </c>
      <c r="C5" s="43" t="n">
        <v>164.446</v>
      </c>
      <c r="D5" s="44" t="n">
        <v>0.608</v>
      </c>
      <c r="F5" s="39" t="inlineStr">
        <is>
          <t>Linear Regression (comparison)</t>
        </is>
      </c>
      <c r="G5" s="40" t="n">
        <v>164.2846733140408</v>
      </c>
      <c r="H5" s="40" t="n">
        <v>267.3331686886144</v>
      </c>
      <c r="I5" s="41" t="n">
        <v>0.6077381955533689</v>
      </c>
      <c r="J5" s="40" t="n">
        <v>165.2942208908134</v>
      </c>
      <c r="K5" s="40" t="n">
        <v>267.961109366662</v>
      </c>
      <c r="L5" s="41" t="n">
        <v>0.6058932585209488</v>
      </c>
    </row>
    <row r="6" ht="15" customHeight="1" s="27">
      <c r="A6" s="33" t="inlineStr">
        <is>
          <t>Tree depth 5</t>
        </is>
      </c>
      <c r="B6" s="37" t="n">
        <v>247.746</v>
      </c>
      <c r="C6" s="37" t="n">
        <v>153.846</v>
      </c>
      <c r="D6" s="38" t="n">
        <v>0.663</v>
      </c>
      <c r="F6" s="39" t="inlineStr">
        <is>
          <t>Random Forest (FINAL, 100 trees)</t>
        </is>
      </c>
      <c r="G6" s="40" t="n">
        <v>136.3789579794354</v>
      </c>
      <c r="H6" s="40" t="n">
        <v>221.8186669349499</v>
      </c>
      <c r="I6" s="41" t="n">
        <v>0.7299361145769294</v>
      </c>
      <c r="J6" s="40" t="n">
        <v>144.117619363895</v>
      </c>
      <c r="K6" s="40" t="n">
        <v>227.321058976226</v>
      </c>
      <c r="L6" s="41" t="n">
        <v>0.7163716289549138</v>
      </c>
    </row>
    <row r="7" ht="15" customHeight="1" s="27">
      <c r="A7" s="33" t="inlineStr">
        <is>
          <t>Random Forest (100)</t>
        </is>
      </c>
      <c r="B7" s="37" t="n">
        <v>223.657</v>
      </c>
      <c r="C7" s="37" t="n">
        <v>136.778</v>
      </c>
      <c r="D7" s="38" t="n">
        <v>0.725</v>
      </c>
      <c r="F7" s="69" t="inlineStr">
        <is>
          <t>• KFold: shuffled, random_state=1. GroupKFold: all outlets of a chain (same name, ~40% of rows) stay in one fold.</t>
        </is>
      </c>
    </row>
    <row r="8">
      <c r="F8" s="69" t="inlineStr">
        <is>
          <t>• GroupKFold is the stricter test: it checks the model on brands it has never seen, as the app will.</t>
        </is>
      </c>
    </row>
    <row r="9" ht="17.35" customHeight="1" s="27">
      <c r="A9" s="28" t="inlineStr">
        <is>
          <t>Rating – 10-fold stratified cross-validation (target class = Yes, threshold 0.5)</t>
        </is>
      </c>
    </row>
    <row r="10" ht="15" customHeight="1" s="27">
      <c r="A10" s="46" t="inlineStr">
        <is>
          <t>Model</t>
        </is>
      </c>
      <c r="B10" s="46" t="inlineStr">
        <is>
          <t>AUC</t>
        </is>
      </c>
      <c r="C10" s="46" t="inlineStr">
        <is>
          <t>Accuracy (CA)</t>
        </is>
      </c>
      <c r="D10" s="46" t="inlineStr">
        <is>
          <t>F1</t>
        </is>
      </c>
      <c r="E10" s="46" t="inlineStr">
        <is>
          <t>Precision</t>
        </is>
      </c>
      <c r="F10" s="46" t="inlineStr">
        <is>
          <t>Recall</t>
        </is>
      </c>
    </row>
    <row r="11" ht="15" customHeight="1" s="27">
      <c r="A11" s="47" t="inlineStr">
        <is>
          <t>Constant</t>
        </is>
      </c>
      <c r="B11" s="48" t="n">
        <v>0.5</v>
      </c>
      <c r="C11" s="48" t="n">
        <v>0.772</v>
      </c>
      <c r="D11" s="48" t="n">
        <v>0</v>
      </c>
      <c r="E11" s="48" t="n">
        <v>0</v>
      </c>
      <c r="F11" s="48" t="n">
        <v>0</v>
      </c>
    </row>
    <row r="12" ht="15" customHeight="1" s="27">
      <c r="A12" s="49" t="inlineStr">
        <is>
          <t>Logistic Regression (Ridge C=1)</t>
        </is>
      </c>
      <c r="B12" s="50" t="n">
        <v>0.8110000000000001</v>
      </c>
      <c r="C12" s="50" t="n">
        <v>0.833</v>
      </c>
      <c r="D12" s="50" t="n">
        <v>0.528</v>
      </c>
      <c r="E12" s="50" t="n">
        <v>0.744</v>
      </c>
      <c r="F12" s="50" t="n">
        <v>0.409</v>
      </c>
    </row>
    <row r="13" ht="15" customHeight="1" s="27">
      <c r="A13" s="47" t="inlineStr">
        <is>
          <t>Tree depth 4</t>
        </is>
      </c>
      <c r="B13" s="48" t="n">
        <v>0.729</v>
      </c>
      <c r="C13" s="48" t="n">
        <v>0.8110000000000001</v>
      </c>
      <c r="D13" s="48" t="n">
        <v>0.476</v>
      </c>
      <c r="E13" s="48" t="n">
        <v>0.647</v>
      </c>
      <c r="F13" s="48" t="n">
        <v>0.377</v>
      </c>
    </row>
    <row r="14" ht="15" customHeight="1" s="27">
      <c r="A14" s="47" t="inlineStr">
        <is>
          <t>Random Forest (100)</t>
        </is>
      </c>
      <c r="B14" s="48" t="n">
        <v>0.825</v>
      </c>
      <c r="C14" s="48" t="n">
        <v>0.841</v>
      </c>
      <c r="D14" s="48" t="n">
        <v>0.586</v>
      </c>
      <c r="E14" s="48" t="n">
        <v>0.722</v>
      </c>
      <c r="F14" s="48" t="n">
        <v>0.493</v>
      </c>
    </row>
    <row r="16" ht="15" customHeight="1" s="27">
      <c r="A16" s="51" t="inlineStr">
        <is>
          <t>Confusion matrix – Logistic Regression, 10-fold CV, threshold 0.5</t>
        </is>
      </c>
    </row>
    <row r="17" ht="15" customHeight="1" s="27">
      <c r="A17" s="52" t="n"/>
      <c r="B17" s="52" t="inlineStr">
        <is>
          <t>Predicted No</t>
        </is>
      </c>
      <c r="C17" s="52" t="inlineStr">
        <is>
          <t>Predicted Yes</t>
        </is>
      </c>
    </row>
    <row r="18" ht="15" customHeight="1" s="27">
      <c r="A18" s="51" t="inlineStr">
        <is>
          <t>Actual No</t>
        </is>
      </c>
      <c r="B18" s="53" t="n">
        <v>6840</v>
      </c>
      <c r="C18" s="53" t="n">
        <v>297</v>
      </c>
    </row>
    <row r="19" ht="15" customHeight="1" s="27">
      <c r="A19" s="51" t="inlineStr">
        <is>
          <t>Actual Yes</t>
        </is>
      </c>
      <c r="B19" s="53" t="n">
        <v>1245</v>
      </c>
      <c r="C19" s="53" t="n">
        <v>862</v>
      </c>
    </row>
    <row r="21" ht="15" customHeight="1" s="27">
      <c r="A21" s="53" t="inlineStr">
        <is>
          <t>• Cross-validation splits the data into 10 parts, trains on 9 and tests on 1, ten times over. Every restaurant is tested once, which makes this the most reliable comparison.</t>
        </is>
      </c>
    </row>
    <row r="22" ht="15" customHeight="1" s="27">
      <c r="A22" s="53" t="inlineStr">
        <is>
          <t>• Price table (rows 4–7) and rating table (rows 11–14, target class Yes) read from the Orange 3.39 GUI on 2026-10-26 after fixing the Random Forest settings (100 trees, replicable, no attribute/depth limit, min split 5, no class balancing). A new Test &amp; Score run may differ by about ±0.01 because of the random fold split.</t>
        </is>
      </c>
    </row>
    <row r="23">
      <c r="A23" s="69" t="inlineStr">
        <is>
          <t>• Confusion matrix (rows 17–19): Logistic Regression, Orange GUI 'Confusion Matrix (CV)', same run (precision 862/1,159 = 0.744, recall 862/2,107 = 0.409).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26" min="1" max="1"/>
    <col width="28" customWidth="1" style="26" min="2" max="2"/>
    <col width="13" customWidth="1" style="26" min="3" max="7"/>
  </cols>
  <sheetData>
    <row r="1" ht="17.35" customHeight="1" s="27">
      <c r="A1" s="28" t="inlineStr">
        <is>
          <t>Hold-out test – trained on 9,234 restaurants, tested on 10 unseen restaurants</t>
        </is>
      </c>
    </row>
    <row r="3" ht="15" customHeight="1" s="27">
      <c r="A3" s="32" t="inlineStr">
        <is>
          <t>Price model</t>
        </is>
      </c>
      <c r="B3" s="32" t="inlineStr">
        <is>
          <t>RMSE (₹)</t>
        </is>
      </c>
      <c r="C3" s="32" t="inlineStr">
        <is>
          <t>MAE (₹)</t>
        </is>
      </c>
      <c r="D3" s="32" t="inlineStr">
        <is>
          <t>R²</t>
        </is>
      </c>
    </row>
    <row r="4" ht="15" customHeight="1" s="27">
      <c r="A4" s="33" t="inlineStr">
        <is>
          <t>Mean (baseline)</t>
        </is>
      </c>
      <c r="B4" s="37" t="n">
        <v>619.547352367086</v>
      </c>
      <c r="C4" s="37" t="n">
        <v>432.642863331167</v>
      </c>
      <c r="D4" s="38" t="n">
        <v>-0.314967186793649</v>
      </c>
    </row>
    <row r="5" ht="15" customHeight="1" s="27">
      <c r="A5" s="42" t="inlineStr">
        <is>
          <t>Linear Regression (OLS)</t>
        </is>
      </c>
      <c r="B5" s="43" t="n">
        <v>268.125</v>
      </c>
      <c r="C5" s="43" t="n">
        <v>185.075</v>
      </c>
      <c r="D5" s="44" t="n">
        <v>0.754</v>
      </c>
    </row>
    <row r="6" ht="15" customHeight="1" s="27">
      <c r="A6" s="33" t="inlineStr">
        <is>
          <t>Tree depth 5</t>
        </is>
      </c>
      <c r="B6" s="37" t="n">
        <v>246.112050858625</v>
      </c>
      <c r="C6" s="37" t="n">
        <v>196.628761181892</v>
      </c>
      <c r="D6" s="38" t="n">
        <v>0.792493519774448</v>
      </c>
    </row>
    <row r="7" ht="15" customHeight="1" s="27">
      <c r="A7" s="33" t="inlineStr">
        <is>
          <t>Random Forest (100)</t>
        </is>
      </c>
      <c r="B7" s="37" t="n">
        <v>206.97</v>
      </c>
      <c r="C7" s="37" t="n">
        <v>151.73</v>
      </c>
      <c r="D7" s="38" t="n">
        <v>0.853</v>
      </c>
    </row>
    <row r="9" ht="15" customHeight="1" s="27">
      <c r="A9" s="46" t="inlineStr">
        <is>
          <t>Rating model</t>
        </is>
      </c>
      <c r="B9" s="46" t="inlineStr">
        <is>
          <t>AUC</t>
        </is>
      </c>
      <c r="C9" s="46" t="inlineStr">
        <is>
          <t>Accuracy</t>
        </is>
      </c>
      <c r="D9" s="46" t="inlineStr">
        <is>
          <t>TP</t>
        </is>
      </c>
      <c r="E9" s="46" t="inlineStr">
        <is>
          <t>FP</t>
        </is>
      </c>
      <c r="F9" s="46" t="inlineStr">
        <is>
          <t>TN</t>
        </is>
      </c>
      <c r="G9" s="46" t="inlineStr">
        <is>
          <t>FN</t>
        </is>
      </c>
    </row>
    <row r="10" ht="15" customHeight="1" s="27">
      <c r="A10" s="47" t="inlineStr">
        <is>
          <t>Constant</t>
        </is>
      </c>
      <c r="B10" s="48" t="n">
        <v>0.5</v>
      </c>
      <c r="C10" s="48" t="n">
        <v>0.6</v>
      </c>
      <c r="D10" s="47" t="n">
        <v>0</v>
      </c>
      <c r="E10" s="47" t="n">
        <v>0</v>
      </c>
      <c r="F10" s="47" t="n">
        <v>6</v>
      </c>
      <c r="G10" s="47" t="n">
        <v>4</v>
      </c>
    </row>
    <row r="11" ht="15" customHeight="1" s="27">
      <c r="A11" s="49" t="inlineStr">
        <is>
          <t>Logistic Regression (Ridge C=1)</t>
        </is>
      </c>
      <c r="B11" s="50" t="n">
        <v>0.916666666666667</v>
      </c>
      <c r="C11" s="50" t="n">
        <v>0.9</v>
      </c>
      <c r="D11" s="49" t="n">
        <v>3</v>
      </c>
      <c r="E11" s="49" t="n">
        <v>0</v>
      </c>
      <c r="F11" s="49" t="n">
        <v>6</v>
      </c>
      <c r="G11" s="49" t="n">
        <v>1</v>
      </c>
    </row>
    <row r="12" ht="15" customHeight="1" s="27">
      <c r="A12" s="47" t="inlineStr">
        <is>
          <t>Tree depth 4</t>
        </is>
      </c>
      <c r="B12" s="48" t="n">
        <v>0.770833333333333</v>
      </c>
      <c r="C12" s="48" t="n">
        <v>0.8</v>
      </c>
      <c r="D12" s="47" t="n">
        <v>2</v>
      </c>
      <c r="E12" s="47" t="n">
        <v>0</v>
      </c>
      <c r="F12" s="47" t="n">
        <v>6</v>
      </c>
      <c r="G12" s="47" t="n">
        <v>2</v>
      </c>
    </row>
    <row r="13" ht="15" customHeight="1" s="27">
      <c r="A13" s="47" t="inlineStr">
        <is>
          <t>Random Forest (100)</t>
        </is>
      </c>
      <c r="B13" s="48" t="n">
        <v>1</v>
      </c>
      <c r="C13" s="48" t="n">
        <v>1</v>
      </c>
      <c r="D13" s="47" t="n">
        <v>4</v>
      </c>
      <c r="E13" s="47" t="n">
        <v>0</v>
      </c>
      <c r="F13" s="47" t="n">
        <v>6</v>
      </c>
      <c r="G13" s="47" t="n">
        <v>0</v>
      </c>
    </row>
    <row r="15" ht="17.35" customHeight="1" s="27">
      <c r="A15" s="28" t="inlineStr">
        <is>
          <t>Row-by-row results for the final models</t>
        </is>
      </c>
    </row>
    <row r="16" ht="39.55" customHeight="1" s="27">
      <c r="A16" s="54" t="inlineStr">
        <is>
          <t>Test ID</t>
        </is>
      </c>
      <c r="B16" s="54" t="inlineStr">
        <is>
          <t>Restaurant</t>
        </is>
      </c>
      <c r="C16" s="54" t="inlineStr">
        <is>
          <t>Actual cost (₹)</t>
        </is>
      </c>
      <c r="D16" s="54" t="inlineStr">
        <is>
          <t>Predicted cost (₹) – RF (Python)</t>
        </is>
      </c>
      <c r="E16" s="54" t="inlineStr">
        <is>
          <t>Error (₹)</t>
        </is>
      </c>
      <c r="F16" s="54" t="inlineStr">
        <is>
          <t>Abs error (₹)</t>
        </is>
      </c>
      <c r="G16" s="54" t="inlineStr">
        <is>
          <t>Actual rating</t>
        </is>
      </c>
      <c r="H16" s="54" t="inlineStr">
        <is>
          <t>Actual 4.0+</t>
        </is>
      </c>
      <c r="I16" s="54" t="inlineStr">
        <is>
          <t>P(4.0+) – LR (Python)</t>
        </is>
      </c>
      <c r="J16" s="54" t="inlineStr">
        <is>
          <t>Predicted 4.0+ (0.5)</t>
        </is>
      </c>
      <c r="K16" s="54" t="inlineStr">
        <is>
          <t>Correct?</t>
        </is>
      </c>
    </row>
    <row r="17" ht="15" customHeight="1" s="27">
      <c r="A17" s="47" t="inlineStr">
        <is>
          <t>T01</t>
        </is>
      </c>
      <c r="B17" s="47" t="inlineStr">
        <is>
          <t>Hotel Sakti Saravana</t>
        </is>
      </c>
      <c r="C17" s="47" t="n">
        <v>350</v>
      </c>
      <c r="D17" s="55" t="n">
        <v>335.3</v>
      </c>
      <c r="E17" s="55">
        <f>D17-C17</f>
        <v/>
      </c>
      <c r="F17" s="55">
        <f>ABS(E17)</f>
        <v/>
      </c>
      <c r="G17" s="47" t="n">
        <v>3.8</v>
      </c>
      <c r="H17" s="47" t="inlineStr">
        <is>
          <t>No</t>
        </is>
      </c>
      <c r="I17" s="48" t="n">
        <v>0.091</v>
      </c>
      <c r="J17" s="47">
        <f>IF(I17&gt;=0.5,"Yes","No")</f>
        <v/>
      </c>
      <c r="K17" s="47">
        <f>IF(J17=H17,"✔","✘")</f>
        <v/>
      </c>
    </row>
    <row r="18" ht="15" customHeight="1" s="27">
      <c r="A18" s="47" t="inlineStr">
        <is>
          <t>T02</t>
        </is>
      </c>
      <c r="B18" s="47" t="inlineStr">
        <is>
          <t>Sizzling Szechuan</t>
        </is>
      </c>
      <c r="C18" s="47" t="n">
        <v>600</v>
      </c>
      <c r="D18" s="55" t="n">
        <v>722.5</v>
      </c>
      <c r="E18" s="55">
        <f>D18-C18</f>
        <v/>
      </c>
      <c r="F18" s="55">
        <f>ABS(E18)</f>
        <v/>
      </c>
      <c r="G18" s="47" t="n">
        <v>3.9</v>
      </c>
      <c r="H18" s="47" t="inlineStr">
        <is>
          <t>No</t>
        </is>
      </c>
      <c r="I18" s="48" t="n">
        <v>0.06</v>
      </c>
      <c r="J18" s="47">
        <f>IF(I18&gt;=0.5,"Yes","No")</f>
        <v/>
      </c>
      <c r="K18" s="47">
        <f>IF(J18=H18,"✔","✘")</f>
        <v/>
      </c>
    </row>
    <row r="19" ht="15" customHeight="1" s="27">
      <c r="A19" s="47" t="inlineStr">
        <is>
          <t>T03</t>
        </is>
      </c>
      <c r="B19" s="47" t="inlineStr">
        <is>
          <t>Roundup Cafe</t>
        </is>
      </c>
      <c r="C19" s="47" t="n">
        <v>800</v>
      </c>
      <c r="D19" s="55" t="n">
        <v>718.2</v>
      </c>
      <c r="E19" s="55">
        <f>D19-C19</f>
        <v/>
      </c>
      <c r="F19" s="55">
        <f>ABS(E19)</f>
        <v/>
      </c>
      <c r="G19" s="47" t="n">
        <v>4.2</v>
      </c>
      <c r="H19" s="47" t="inlineStr">
        <is>
          <t>Yes</t>
        </is>
      </c>
      <c r="I19" s="48" t="n">
        <v>0.917</v>
      </c>
      <c r="J19" s="47">
        <f>IF(I19&gt;=0.5,"Yes","No")</f>
        <v/>
      </c>
      <c r="K19" s="47">
        <f>IF(J19=H19,"✔","✘")</f>
        <v/>
      </c>
    </row>
    <row r="20" ht="15" customHeight="1" s="27">
      <c r="A20" s="47" t="inlineStr">
        <is>
          <t>T04</t>
        </is>
      </c>
      <c r="B20" s="47" t="inlineStr">
        <is>
          <t>ReadyBowl</t>
        </is>
      </c>
      <c r="C20" s="47" t="n">
        <v>400</v>
      </c>
      <c r="D20" s="55" t="n">
        <v>408.8</v>
      </c>
      <c r="E20" s="55">
        <f>D20-C20</f>
        <v/>
      </c>
      <c r="F20" s="55">
        <f>ABS(E20)</f>
        <v/>
      </c>
      <c r="G20" s="47" t="n">
        <v>3.7</v>
      </c>
      <c r="H20" s="47" t="inlineStr">
        <is>
          <t>No</t>
        </is>
      </c>
      <c r="I20" s="48" t="n">
        <v>0.142</v>
      </c>
      <c r="J20" s="47">
        <f>IF(I20&gt;=0.5,"Yes","No")</f>
        <v/>
      </c>
      <c r="K20" s="47">
        <f>IF(J20=H20,"✔","✘")</f>
        <v/>
      </c>
    </row>
    <row r="21" ht="15" customHeight="1" s="27">
      <c r="A21" s="47" t="inlineStr">
        <is>
          <t>T05</t>
        </is>
      </c>
      <c r="B21" s="47" t="inlineStr">
        <is>
          <t>Papacream</t>
        </is>
      </c>
      <c r="C21" s="47" t="n">
        <v>350</v>
      </c>
      <c r="D21" s="55" t="n">
        <v>256.9</v>
      </c>
      <c r="E21" s="55">
        <f>D21-C21</f>
        <v/>
      </c>
      <c r="F21" s="55">
        <f>ABS(E21)</f>
        <v/>
      </c>
      <c r="G21" s="47" t="n">
        <v>3.8</v>
      </c>
      <c r="H21" s="47" t="inlineStr">
        <is>
          <t>No</t>
        </is>
      </c>
      <c r="I21" s="48" t="n">
        <v>0.224</v>
      </c>
      <c r="J21" s="47">
        <f>IF(I21&gt;=0.5,"Yes","No")</f>
        <v/>
      </c>
      <c r="K21" s="47">
        <f>IF(J21=H21,"✔","✘")</f>
        <v/>
      </c>
    </row>
    <row r="22" ht="15" customHeight="1" s="27">
      <c r="A22" s="47" t="inlineStr">
        <is>
          <t>T06</t>
        </is>
      </c>
      <c r="B22" s="47" t="inlineStr">
        <is>
          <t>Jeff's - Royal Orchid Hotel</t>
        </is>
      </c>
      <c r="C22" s="47" t="n">
        <v>1800</v>
      </c>
      <c r="D22" s="55" t="n">
        <v>1331</v>
      </c>
      <c r="E22" s="55">
        <f>D22-C22</f>
        <v/>
      </c>
      <c r="F22" s="55">
        <f>ABS(E22)</f>
        <v/>
      </c>
      <c r="G22" s="47" t="n">
        <v>3.9</v>
      </c>
      <c r="H22" s="47" t="inlineStr">
        <is>
          <t>No</t>
        </is>
      </c>
      <c r="I22" s="48" t="n">
        <v>0.231</v>
      </c>
      <c r="J22" s="47">
        <f>IF(I22&gt;=0.5,"Yes","No")</f>
        <v/>
      </c>
      <c r="K22" s="47">
        <f>IF(J22=H22,"✔","✘")</f>
        <v/>
      </c>
    </row>
    <row r="23" ht="15" customHeight="1" s="27">
      <c r="A23" s="47" t="inlineStr">
        <is>
          <t>T07</t>
        </is>
      </c>
      <c r="B23" s="47" t="inlineStr">
        <is>
          <t>Just Bake</t>
        </is>
      </c>
      <c r="C23" s="47" t="n">
        <v>400</v>
      </c>
      <c r="D23" s="55" t="n">
        <v>423.2</v>
      </c>
      <c r="E23" s="55">
        <f>D23-C23</f>
        <v/>
      </c>
      <c r="F23" s="55">
        <f>ABS(E23)</f>
        <v/>
      </c>
      <c r="G23" s="47" t="n">
        <v>3.2</v>
      </c>
      <c r="H23" s="47" t="inlineStr">
        <is>
          <t>No</t>
        </is>
      </c>
      <c r="I23" s="48" t="n">
        <v>0.139</v>
      </c>
      <c r="J23" s="47">
        <f>IF(I23&gt;=0.5,"Yes","No")</f>
        <v/>
      </c>
      <c r="K23" s="47">
        <f>IF(J23=H23,"✔","✘")</f>
        <v/>
      </c>
    </row>
    <row r="24" ht="15" customHeight="1" s="27">
      <c r="A24" s="47" t="inlineStr">
        <is>
          <t>T08</t>
        </is>
      </c>
      <c r="B24" s="47" t="inlineStr">
        <is>
          <t>Mojo Pizza - 2X Toppings</t>
        </is>
      </c>
      <c r="C24" s="47" t="n">
        <v>600</v>
      </c>
      <c r="D24" s="55" t="n">
        <v>329.8</v>
      </c>
      <c r="E24" s="55">
        <f>D24-C24</f>
        <v/>
      </c>
      <c r="F24" s="55">
        <f>ABS(E24)</f>
        <v/>
      </c>
      <c r="G24" s="47" t="n">
        <v>4.2</v>
      </c>
      <c r="H24" s="47" t="inlineStr">
        <is>
          <t>Yes</t>
        </is>
      </c>
      <c r="I24" s="48" t="n">
        <v>0.211</v>
      </c>
      <c r="J24" s="47">
        <f>IF(I24&gt;=0.5,"Yes","No")</f>
        <v/>
      </c>
      <c r="K24" s="47">
        <f>IF(J24=H24,"✔","✘")</f>
        <v/>
      </c>
    </row>
    <row r="25" ht="15" customHeight="1" s="27">
      <c r="A25" s="47" t="inlineStr">
        <is>
          <t>T09</t>
        </is>
      </c>
      <c r="B25" s="47" t="inlineStr">
        <is>
          <t>Drava</t>
        </is>
      </c>
      <c r="C25" s="47" t="n">
        <v>1500</v>
      </c>
      <c r="D25" s="55" t="n">
        <v>1197.5</v>
      </c>
      <c r="E25" s="55">
        <f>D25-C25</f>
        <v/>
      </c>
      <c r="F25" s="55">
        <f>ABS(E25)</f>
        <v/>
      </c>
      <c r="G25" s="47" t="n">
        <v>4.4</v>
      </c>
      <c r="H25" s="47" t="inlineStr">
        <is>
          <t>Yes</t>
        </is>
      </c>
      <c r="I25" s="48" t="n">
        <v>0.912</v>
      </c>
      <c r="J25" s="47">
        <f>IF(I25&gt;=0.5,"Yes","No")</f>
        <v/>
      </c>
      <c r="K25" s="47">
        <f>IF(J25=H25,"✔","✘")</f>
        <v/>
      </c>
    </row>
    <row r="26" ht="15" customHeight="1" s="27">
      <c r="A26" s="47" t="inlineStr">
        <is>
          <t>T10</t>
        </is>
      </c>
      <c r="B26" s="47" t="inlineStr">
        <is>
          <t>Samarkand</t>
        </is>
      </c>
      <c r="C26" s="47" t="n">
        <v>1600</v>
      </c>
      <c r="D26" s="55" t="n">
        <v>1470.4</v>
      </c>
      <c r="E26" s="55">
        <f>D26-C26</f>
        <v/>
      </c>
      <c r="F26" s="55">
        <f>ABS(E26)</f>
        <v/>
      </c>
      <c r="G26" s="47" t="n">
        <v>4.1</v>
      </c>
      <c r="H26" s="47" t="inlineStr">
        <is>
          <t>Yes</t>
        </is>
      </c>
      <c r="I26" s="48" t="n">
        <v>0.784</v>
      </c>
      <c r="J26" s="47">
        <f>IF(I26&gt;=0.5,"Yes","No")</f>
        <v/>
      </c>
      <c r="K26" s="47">
        <f>IF(J26=H26,"✔","✘")</f>
        <v/>
      </c>
    </row>
    <row r="27" ht="15" customHeight="1" s="27">
      <c r="E27" s="51" t="inlineStr">
        <is>
          <t>MAE (₹)</t>
        </is>
      </c>
      <c r="F27" s="55">
        <f>AVERAGE(F17:F26)</f>
        <v/>
      </c>
      <c r="J27" s="51" t="inlineStr">
        <is>
          <t>Correct</t>
        </is>
      </c>
      <c r="K27" s="47">
        <f>COUNTIF(K17:K26,"✔")&amp;" / 10"</f>
        <v/>
      </c>
    </row>
    <row r="29" ht="15" customHeight="1" s="27">
      <c r="A29" s="53" t="inlineStr">
        <is>
          <t>• What this is: a hold-out (train/test split) test. The 10 restaurants were removed before training, so the models never saw them.</t>
        </is>
      </c>
    </row>
    <row r="30" ht="15" customHeight="1" s="27">
      <c r="A30" s="53" t="inlineStr">
        <is>
          <t>• Caution: 10 rows are far too few to measure accuracy (one mistake moves accuracy by 10 points), and the 10 were chosen for variety (formats, prices, outcomes), not at random. Use cross-validation for performance claims; the hold-out is evidence that the models work on new restaurants and a fixed check for the app.</t>
        </is>
      </c>
    </row>
    <row r="31" ht="15" customHeight="1" s="27">
      <c r="A31" s="53" t="inlineStr">
        <is>
          <t>• Random Forest scores perfectly here by luck of the small sample; its cross-validation AUC (0.818) is the realistic figure.</t>
        </is>
      </c>
    </row>
    <row r="32">
      <c r="A32" s="69" t="inlineStr">
        <is>
          <t>• Price predictions are from the Python Random Forest the app loads (price_model.joblib via predict.py); hold-out MAE ₹151.5.</t>
        </is>
      </c>
    </row>
    <row r="33">
      <c r="A33" s="69" t="inlineStr">
        <is>
          <t>• Orange's Random Forest (same settings, rows 4–7 from the Orange GUI) gets MAE ₹151.7: two forests are never identical, so per-row numbers differ, but the average error agrees within ₹0.2. Between Python seeds, predictions move by about ₹5–56 per restaurant; the app reproduces the Python values.</t>
        </is>
      </c>
    </row>
    <row r="34">
      <c r="A34" s="69" t="inlineStr">
        <is>
          <t>• P(4.0+) is from the Python Logistic Regression the app loads (rating_model.joblib via predict.py); it matches the Orange GUI within 0.002 for every restaurant. The earlier values (0.143, 0.175, …) did not come from this Orange workflow.</t>
        </is>
      </c>
    </row>
    <row r="35">
      <c r="A35" s="69" t="inlineStr">
        <is>
          <t>• Linear Regression and Random Forest rows above were re-read from the Orange GUI on 2026-10-26 (RF settings fixed: no depth/attribute limit, min split 5). Linear Regression changed from ₹183.9 to ₹185.1; the cause is not yet known.</t>
        </is>
      </c>
    </row>
    <row r="36">
      <c r="A36" s="69" t="inlineStr">
        <is>
          <t>• Linear Regression check: plain OLS in Python (scikit-learn, same training file and 10 restaurants) gives MAE ₹183.9, RMSE ₹264.9, R² 0.760, the original value in this sheet. Orange's LR widget gives ₹185.1 with the same data and settings (no regularization, fit intercept); the gap comes from inside Orange. LR is comparison-only and does not affect the app.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6" min="1" max="1"/>
    <col width="40" customWidth="1" style="26" min="2" max="2"/>
    <col width="14" customWidth="1" style="26" min="3" max="3"/>
    <col width="22" customWidth="1" style="26" min="4" max="4"/>
  </cols>
  <sheetData>
    <row r="1" ht="17.35" customHeight="1" s="27">
      <c r="A1" s="28" t="inlineStr">
        <is>
          <t>Linear Regression – price for two (₹) – COMPARISON ONLY (final price model is the Random Forest)</t>
        </is>
      </c>
    </row>
    <row r="2" ht="15" customHeight="1" s="27">
      <c r="A2" s="51" t="inlineStr">
        <is>
          <t>Intercept</t>
        </is>
      </c>
      <c r="C2" s="53" t="n">
        <v>585.2081596297151</v>
      </c>
    </row>
    <row r="4" ht="15" customHeight="1" s="27">
      <c r="A4" s="32" t="inlineStr">
        <is>
          <t>Variable</t>
        </is>
      </c>
      <c r="B4" s="32" t="inlineStr">
        <is>
          <t>Level</t>
        </is>
      </c>
      <c r="C4" s="32" t="inlineStr">
        <is>
          <t>Coefficient</t>
        </is>
      </c>
    </row>
    <row r="5" ht="15" customHeight="1" s="27">
      <c r="A5" s="33" t="inlineStr">
        <is>
          <t>book_table</t>
        </is>
      </c>
      <c r="B5" s="33" t="inlineStr">
        <is>
          <t>No</t>
        </is>
      </c>
      <c r="C5" s="56" t="n">
        <v>-208.189581793152</v>
      </c>
    </row>
    <row r="6" ht="15" customHeight="1" s="27">
      <c r="A6" s="33" t="inlineStr">
        <is>
          <t>book_table</t>
        </is>
      </c>
      <c r="B6" s="33" t="inlineStr">
        <is>
          <t>Yes</t>
        </is>
      </c>
      <c r="C6" s="56" t="n">
        <v>208.189581793152</v>
      </c>
    </row>
    <row r="7" ht="15" customHeight="1" s="27">
      <c r="A7" s="33" t="inlineStr">
        <is>
          <t>c_Bakery</t>
        </is>
      </c>
      <c r="B7" s="33" t="inlineStr">
        <is>
          <t>No</t>
        </is>
      </c>
      <c r="C7" s="56" t="n">
        <v>6.758996218838</v>
      </c>
    </row>
    <row r="8" ht="15" customHeight="1" s="27">
      <c r="A8" s="33" t="inlineStr">
        <is>
          <t>c_Bakery</t>
        </is>
      </c>
      <c r="B8" s="33" t="inlineStr">
        <is>
          <t>Yes</t>
        </is>
      </c>
      <c r="C8" s="56" t="n">
        <v>-6.75899621883809</v>
      </c>
    </row>
    <row r="9" ht="15" customHeight="1" s="27">
      <c r="A9" s="33" t="inlineStr">
        <is>
          <t>c_Beverages</t>
        </is>
      </c>
      <c r="B9" s="33" t="inlineStr">
        <is>
          <t>No</t>
        </is>
      </c>
      <c r="C9" s="56" t="n">
        <v>23.5773596804947</v>
      </c>
    </row>
    <row r="10" ht="15" customHeight="1" s="27">
      <c r="A10" s="33" t="inlineStr">
        <is>
          <t>c_Beverages</t>
        </is>
      </c>
      <c r="B10" s="33" t="inlineStr">
        <is>
          <t>Yes</t>
        </is>
      </c>
      <c r="C10" s="56" t="n">
        <v>-23.5773596804949</v>
      </c>
    </row>
    <row r="11" ht="15" customHeight="1" s="27">
      <c r="A11" s="33" t="inlineStr">
        <is>
          <t>c_Biryani</t>
        </is>
      </c>
      <c r="B11" s="33" t="inlineStr">
        <is>
          <t>No</t>
        </is>
      </c>
      <c r="C11" s="56" t="n">
        <v>29.0329490243675</v>
      </c>
    </row>
    <row r="12" ht="15" customHeight="1" s="27">
      <c r="A12" s="33" t="inlineStr">
        <is>
          <t>c_Biryani</t>
        </is>
      </c>
      <c r="B12" s="33" t="inlineStr">
        <is>
          <t>Yes</t>
        </is>
      </c>
      <c r="C12" s="56" t="n">
        <v>-29.0329490243677</v>
      </c>
    </row>
    <row r="13" ht="15" customHeight="1" s="27">
      <c r="A13" s="33" t="inlineStr">
        <is>
          <t>c_Cafe</t>
        </is>
      </c>
      <c r="B13" s="33" t="inlineStr">
        <is>
          <t>No</t>
        </is>
      </c>
      <c r="C13" s="56" t="n">
        <v>27.239306143931</v>
      </c>
    </row>
    <row r="14" ht="15" customHeight="1" s="27">
      <c r="A14" s="33" t="inlineStr">
        <is>
          <t>c_Cafe</t>
        </is>
      </c>
      <c r="B14" s="33" t="inlineStr">
        <is>
          <t>Yes</t>
        </is>
      </c>
      <c r="C14" s="56" t="n">
        <v>-27.2393061439314</v>
      </c>
    </row>
    <row r="15" ht="15" customHeight="1" s="27">
      <c r="A15" s="33" t="inlineStr">
        <is>
          <t>c_Chinese</t>
        </is>
      </c>
      <c r="B15" s="33" t="inlineStr">
        <is>
          <t>No</t>
        </is>
      </c>
      <c r="C15" s="56" t="n">
        <v>30.5136393849043</v>
      </c>
    </row>
    <row r="16" ht="15" customHeight="1" s="27">
      <c r="A16" s="33" t="inlineStr">
        <is>
          <t>c_Chinese</t>
        </is>
      </c>
      <c r="B16" s="33" t="inlineStr">
        <is>
          <t>Yes</t>
        </is>
      </c>
      <c r="C16" s="56" t="n">
        <v>-30.5136393849048</v>
      </c>
    </row>
    <row r="17" ht="15" customHeight="1" s="27">
      <c r="A17" s="33" t="inlineStr">
        <is>
          <t>c_Continental</t>
        </is>
      </c>
      <c r="B17" s="33" t="inlineStr">
        <is>
          <t>No</t>
        </is>
      </c>
      <c r="C17" s="56" t="n">
        <v>-15.0422320127892</v>
      </c>
    </row>
    <row r="18" ht="15" customHeight="1" s="27">
      <c r="A18" s="33" t="inlineStr">
        <is>
          <t>c_Continental</t>
        </is>
      </c>
      <c r="B18" s="33" t="inlineStr">
        <is>
          <t>Yes</t>
        </is>
      </c>
      <c r="C18" s="56" t="n">
        <v>15.0422320127896</v>
      </c>
    </row>
    <row r="19" ht="15" customHeight="1" s="27">
      <c r="A19" s="33" t="inlineStr">
        <is>
          <t>c_Desserts</t>
        </is>
      </c>
      <c r="B19" s="33" t="inlineStr">
        <is>
          <t>No</t>
        </is>
      </c>
      <c r="C19" s="56" t="n">
        <v>15.4020706927998</v>
      </c>
    </row>
    <row r="20" ht="15" customHeight="1" s="27">
      <c r="A20" s="33" t="inlineStr">
        <is>
          <t>c_Desserts</t>
        </is>
      </c>
      <c r="B20" s="33" t="inlineStr">
        <is>
          <t>Yes</t>
        </is>
      </c>
      <c r="C20" s="56" t="n">
        <v>-15.4020706927993</v>
      </c>
    </row>
    <row r="21" ht="15" customHeight="1" s="27">
      <c r="A21" s="33" t="inlineStr">
        <is>
          <t>c_Fast_Food</t>
        </is>
      </c>
      <c r="B21" s="33" t="inlineStr">
        <is>
          <t>No</t>
        </is>
      </c>
      <c r="C21" s="56" t="n">
        <v>16.3214980076973</v>
      </c>
    </row>
    <row r="22" ht="15" customHeight="1" s="27">
      <c r="A22" s="33" t="inlineStr">
        <is>
          <t>c_Fast_Food</t>
        </is>
      </c>
      <c r="B22" s="33" t="inlineStr">
        <is>
          <t>Yes</t>
        </is>
      </c>
      <c r="C22" s="56" t="n">
        <v>-16.3214980076969</v>
      </c>
    </row>
    <row r="23" ht="15" customHeight="1" s="27">
      <c r="A23" s="33" t="inlineStr">
        <is>
          <t>c_Italian</t>
        </is>
      </c>
      <c r="B23" s="33" t="inlineStr">
        <is>
          <t>No</t>
        </is>
      </c>
      <c r="C23" s="56" t="n">
        <v>-29.6323881992211</v>
      </c>
    </row>
    <row r="24" ht="15" customHeight="1" s="27">
      <c r="A24" s="33" t="inlineStr">
        <is>
          <t>c_Italian</t>
        </is>
      </c>
      <c r="B24" s="33" t="inlineStr">
        <is>
          <t>Yes</t>
        </is>
      </c>
      <c r="C24" s="56" t="n">
        <v>29.6323881992219</v>
      </c>
    </row>
    <row r="25" ht="15" customHeight="1" s="27">
      <c r="A25" s="33" t="inlineStr">
        <is>
          <t>c_North_Indian</t>
        </is>
      </c>
      <c r="B25" s="33" t="inlineStr">
        <is>
          <t>No</t>
        </is>
      </c>
      <c r="C25" s="56" t="n">
        <v>0.234401769403416</v>
      </c>
    </row>
    <row r="26" ht="15" customHeight="1" s="27">
      <c r="A26" s="33" t="inlineStr">
        <is>
          <t>c_North_Indian</t>
        </is>
      </c>
      <c r="B26" s="33" t="inlineStr">
        <is>
          <t>Yes</t>
        </is>
      </c>
      <c r="C26" s="56" t="n">
        <v>-0.234401769403021</v>
      </c>
    </row>
    <row r="27" ht="15" customHeight="1" s="27">
      <c r="A27" s="33" t="inlineStr">
        <is>
          <t>c_South_Indian</t>
        </is>
      </c>
      <c r="B27" s="33" t="inlineStr">
        <is>
          <t>No</t>
        </is>
      </c>
      <c r="C27" s="56" t="n">
        <v>43.214393437844</v>
      </c>
    </row>
    <row r="28" ht="15" customHeight="1" s="27">
      <c r="A28" s="33" t="inlineStr">
        <is>
          <t>c_South_Indian</t>
        </is>
      </c>
      <c r="B28" s="33" t="inlineStr">
        <is>
          <t>Yes</t>
        </is>
      </c>
      <c r="C28" s="56" t="n">
        <v>-43.2143934378439</v>
      </c>
    </row>
    <row r="29" ht="15" customHeight="1" s="27">
      <c r="A29" s="33" t="inlineStr">
        <is>
          <t>c_Street_Food</t>
        </is>
      </c>
      <c r="B29" s="33" t="inlineStr">
        <is>
          <t>No</t>
        </is>
      </c>
      <c r="C29" s="56" t="n">
        <v>62.5549721787811</v>
      </c>
    </row>
    <row r="30" ht="15" customHeight="1" s="27">
      <c r="A30" s="33" t="inlineStr">
        <is>
          <t>c_Street_Food</t>
        </is>
      </c>
      <c r="B30" s="33" t="inlineStr">
        <is>
          <t>Yes</t>
        </is>
      </c>
      <c r="C30" s="56" t="n">
        <v>-62.5549721787807</v>
      </c>
    </row>
    <row r="31" ht="15" customHeight="1" s="27">
      <c r="A31" s="33" t="inlineStr">
        <is>
          <t>has_bar</t>
        </is>
      </c>
      <c r="B31" s="33" t="inlineStr">
        <is>
          <t>No</t>
        </is>
      </c>
      <c r="C31" s="56" t="n">
        <v>-91.2885514360843</v>
      </c>
    </row>
    <row r="32" ht="15" customHeight="1" s="27">
      <c r="A32" s="33" t="inlineStr">
        <is>
          <t>has_bar</t>
        </is>
      </c>
      <c r="B32" s="33" t="inlineStr">
        <is>
          <t>Yes</t>
        </is>
      </c>
      <c r="C32" s="56" t="n">
        <v>91.28855143608411</v>
      </c>
    </row>
    <row r="33" ht="15" customHeight="1" s="27">
      <c r="A33" s="33" t="inlineStr">
        <is>
          <t>location</t>
        </is>
      </c>
      <c r="B33" s="33" t="inlineStr">
        <is>
          <t>BTM</t>
        </is>
      </c>
      <c r="C33" s="56" t="n">
        <v>-37.8251455596145</v>
      </c>
    </row>
    <row r="34" ht="15" customHeight="1" s="27">
      <c r="A34" s="33" t="inlineStr">
        <is>
          <t>location</t>
        </is>
      </c>
      <c r="B34" s="33" t="inlineStr">
        <is>
          <t>Banashankari</t>
        </is>
      </c>
      <c r="C34" s="56" t="n">
        <v>-53.3063897039805</v>
      </c>
    </row>
    <row r="35" ht="15" customHeight="1" s="27">
      <c r="A35" s="33" t="inlineStr">
        <is>
          <t>location</t>
        </is>
      </c>
      <c r="B35" s="33" t="inlineStr">
        <is>
          <t>Banaswadi</t>
        </is>
      </c>
      <c r="C35" s="56" t="n">
        <v>-52.2029540784252</v>
      </c>
    </row>
    <row r="36" ht="15" customHeight="1" s="27">
      <c r="A36" s="33" t="inlineStr">
        <is>
          <t>location</t>
        </is>
      </c>
      <c r="B36" s="33" t="inlineStr">
        <is>
          <t>Bannerghatta Road</t>
        </is>
      </c>
      <c r="C36" s="56" t="n">
        <v>-31.7763587816544</v>
      </c>
    </row>
    <row r="37" ht="15" customHeight="1" s="27">
      <c r="A37" s="33" t="inlineStr">
        <is>
          <t>location</t>
        </is>
      </c>
      <c r="B37" s="33" t="inlineStr">
        <is>
          <t>Basavanagudi</t>
        </is>
      </c>
      <c r="C37" s="56" t="n">
        <v>-63.2461752751715</v>
      </c>
    </row>
    <row r="38" ht="15" customHeight="1" s="27">
      <c r="A38" s="33" t="inlineStr">
        <is>
          <t>location</t>
        </is>
      </c>
      <c r="B38" s="33" t="inlineStr">
        <is>
          <t>Basaveshwara Nagar</t>
        </is>
      </c>
      <c r="C38" s="56" t="n">
        <v>-36.1054521860191</v>
      </c>
    </row>
    <row r="39" ht="15" customHeight="1" s="27">
      <c r="A39" s="33" t="inlineStr">
        <is>
          <t>location</t>
        </is>
      </c>
      <c r="B39" s="33" t="inlineStr">
        <is>
          <t>Bellandur</t>
        </is>
      </c>
      <c r="C39" s="56" t="n">
        <v>-11.2428664943676</v>
      </c>
    </row>
    <row r="40" ht="15" customHeight="1" s="27">
      <c r="A40" s="33" t="inlineStr">
        <is>
          <t>location</t>
        </is>
      </c>
      <c r="B40" s="33" t="inlineStr">
        <is>
          <t>Brigade Road</t>
        </is>
      </c>
      <c r="C40" s="56" t="n">
        <v>-7.03013327633442</v>
      </c>
    </row>
    <row r="41" ht="15" customHeight="1" s="27">
      <c r="A41" s="33" t="inlineStr">
        <is>
          <t>location</t>
        </is>
      </c>
      <c r="B41" s="33" t="inlineStr">
        <is>
          <t>Brookefield</t>
        </is>
      </c>
      <c r="C41" s="56" t="n">
        <v>-58.4592298831836</v>
      </c>
    </row>
    <row r="42" ht="15" customHeight="1" s="27">
      <c r="A42" s="33" t="inlineStr">
        <is>
          <t>location</t>
        </is>
      </c>
      <c r="B42" s="33" t="inlineStr">
        <is>
          <t>Domlur</t>
        </is>
      </c>
      <c r="C42" s="56" t="n">
        <v>-9.788642614082731</v>
      </c>
    </row>
    <row r="43" ht="15" customHeight="1" s="27">
      <c r="A43" s="33" t="inlineStr">
        <is>
          <t>location</t>
        </is>
      </c>
      <c r="B43" s="33" t="inlineStr">
        <is>
          <t>Electronic City</t>
        </is>
      </c>
      <c r="C43" s="56" t="n">
        <v>-15.9869395493172</v>
      </c>
    </row>
    <row r="44" ht="15" customHeight="1" s="27">
      <c r="A44" s="33" t="inlineStr">
        <is>
          <t>location</t>
        </is>
      </c>
      <c r="B44" s="33" t="inlineStr">
        <is>
          <t>Frazer Town</t>
        </is>
      </c>
      <c r="C44" s="56" t="n">
        <v>-22.4280441587007</v>
      </c>
    </row>
    <row r="45" ht="15" customHeight="1" s="27">
      <c r="A45" s="33" t="inlineStr">
        <is>
          <t>location</t>
        </is>
      </c>
      <c r="B45" s="33" t="inlineStr">
        <is>
          <t>HSR</t>
        </is>
      </c>
      <c r="C45" s="56" t="n">
        <v>-42.9556683845979</v>
      </c>
    </row>
    <row r="46" ht="15" customHeight="1" s="27">
      <c r="A46" s="33" t="inlineStr">
        <is>
          <t>location</t>
        </is>
      </c>
      <c r="B46" s="33" t="inlineStr">
        <is>
          <t>Indiranagar</t>
        </is>
      </c>
      <c r="C46" s="56" t="n">
        <v>-11.7104689847048</v>
      </c>
    </row>
    <row r="47" ht="15" customHeight="1" s="27">
      <c r="A47" s="33" t="inlineStr">
        <is>
          <t>location</t>
        </is>
      </c>
      <c r="B47" s="33" t="inlineStr">
        <is>
          <t>JP Nagar</t>
        </is>
      </c>
      <c r="C47" s="56" t="n">
        <v>-53.7690554356778</v>
      </c>
    </row>
    <row r="48" ht="15" customHeight="1" s="27">
      <c r="A48" s="33" t="inlineStr">
        <is>
          <t>location</t>
        </is>
      </c>
      <c r="B48" s="33" t="inlineStr">
        <is>
          <t>Jayanagar</t>
        </is>
      </c>
      <c r="C48" s="56" t="n">
        <v>-55.7459588325655</v>
      </c>
    </row>
    <row r="49" ht="15" customHeight="1" s="27">
      <c r="A49" s="33" t="inlineStr">
        <is>
          <t>location</t>
        </is>
      </c>
      <c r="B49" s="33" t="inlineStr">
        <is>
          <t>Jeevan Bhima Nagar</t>
        </is>
      </c>
      <c r="C49" s="56" t="n">
        <v>-59.2777977342514</v>
      </c>
    </row>
    <row r="50" ht="15" customHeight="1" s="27">
      <c r="A50" s="33" t="inlineStr">
        <is>
          <t>location</t>
        </is>
      </c>
      <c r="B50" s="33" t="inlineStr">
        <is>
          <t>Kalyan Nagar</t>
        </is>
      </c>
      <c r="C50" s="56" t="n">
        <v>-28.2234897673425</v>
      </c>
    </row>
    <row r="51" ht="15" customHeight="1" s="27">
      <c r="A51" s="33" t="inlineStr">
        <is>
          <t>location</t>
        </is>
      </c>
      <c r="B51" s="33" t="inlineStr">
        <is>
          <t>Kammanahalli</t>
        </is>
      </c>
      <c r="C51" s="56" t="n">
        <v>-45.2966534214363</v>
      </c>
    </row>
    <row r="52" ht="15" customHeight="1" s="27">
      <c r="A52" s="33" t="inlineStr">
        <is>
          <t>location</t>
        </is>
      </c>
      <c r="B52" s="33" t="inlineStr">
        <is>
          <t>Koramangala 1st Block</t>
        </is>
      </c>
      <c r="C52" s="56" t="n">
        <v>-43.7986480263941</v>
      </c>
    </row>
    <row r="53" ht="15" customHeight="1" s="27">
      <c r="A53" s="33" t="inlineStr">
        <is>
          <t>location</t>
        </is>
      </c>
      <c r="B53" s="33" t="inlineStr">
        <is>
          <t>Koramangala 4th Block</t>
        </is>
      </c>
      <c r="C53" s="56" t="n">
        <v>-51.946999667757</v>
      </c>
    </row>
    <row r="54" ht="15" customHeight="1" s="27">
      <c r="A54" s="33" t="inlineStr">
        <is>
          <t>location</t>
        </is>
      </c>
      <c r="B54" s="33" t="inlineStr">
        <is>
          <t>Koramangala 5th Block</t>
        </is>
      </c>
      <c r="C54" s="56" t="n">
        <v>-65.1573780999373</v>
      </c>
    </row>
    <row r="55" ht="15" customHeight="1" s="27">
      <c r="A55" s="33" t="inlineStr">
        <is>
          <t>location</t>
        </is>
      </c>
      <c r="B55" s="33" t="inlineStr">
        <is>
          <t>Koramangala 6th Block</t>
        </is>
      </c>
      <c r="C55" s="56" t="n">
        <v>-1.25018113878586</v>
      </c>
    </row>
    <row r="56" ht="15" customHeight="1" s="27">
      <c r="A56" s="33" t="inlineStr">
        <is>
          <t>location</t>
        </is>
      </c>
      <c r="B56" s="33" t="inlineStr">
        <is>
          <t>Koramangala 7th Block</t>
        </is>
      </c>
      <c r="C56" s="56" t="n">
        <v>-14.5675358413508</v>
      </c>
    </row>
    <row r="57" ht="15" customHeight="1" s="27">
      <c r="A57" s="33" t="inlineStr">
        <is>
          <t>location</t>
        </is>
      </c>
      <c r="B57" s="33" t="inlineStr">
        <is>
          <t>Kumaraswamy Layout</t>
        </is>
      </c>
      <c r="C57" s="56" t="n">
        <v>-42.5864408891762</v>
      </c>
    </row>
    <row r="58" ht="15" customHeight="1" s="27">
      <c r="A58" s="33" t="inlineStr">
        <is>
          <t>location</t>
        </is>
      </c>
      <c r="B58" s="33" t="inlineStr">
        <is>
          <t>MG Road</t>
        </is>
      </c>
      <c r="C58" s="56" t="n">
        <v>327.86597935852</v>
      </c>
    </row>
    <row r="59" ht="15" customHeight="1" s="27">
      <c r="A59" s="33" t="inlineStr">
        <is>
          <t>location</t>
        </is>
      </c>
      <c r="B59" s="33" t="inlineStr">
        <is>
          <t>Majestic</t>
        </is>
      </c>
      <c r="C59" s="56" t="n">
        <v>-80.4653832716124</v>
      </c>
    </row>
    <row r="60" ht="15" customHeight="1" s="27">
      <c r="A60" s="33" t="inlineStr">
        <is>
          <t>location</t>
        </is>
      </c>
      <c r="B60" s="33" t="inlineStr">
        <is>
          <t>Malleshwaram</t>
        </is>
      </c>
      <c r="C60" s="56" t="n">
        <v>7.66153761848744</v>
      </c>
    </row>
    <row r="61" ht="15" customHeight="1" s="27">
      <c r="A61" s="33" t="inlineStr">
        <is>
          <t>location</t>
        </is>
      </c>
      <c r="B61" s="33" t="inlineStr">
        <is>
          <t>Marathahalli</t>
        </is>
      </c>
      <c r="C61" s="56" t="n">
        <v>-8.67057422971985</v>
      </c>
    </row>
    <row r="62" ht="15" customHeight="1" s="27">
      <c r="A62" s="33" t="inlineStr">
        <is>
          <t>location</t>
        </is>
      </c>
      <c r="B62" s="33" t="inlineStr">
        <is>
          <t>Nagawara</t>
        </is>
      </c>
      <c r="C62" s="56" t="n">
        <v>-32.6201481857591</v>
      </c>
    </row>
    <row r="63" ht="15" customHeight="1" s="27">
      <c r="A63" s="33" t="inlineStr">
        <is>
          <t>location</t>
        </is>
      </c>
      <c r="B63" s="33" t="inlineStr">
        <is>
          <t>New BEL Road</t>
        </is>
      </c>
      <c r="C63" s="56" t="n">
        <v>-33.3206864625837</v>
      </c>
    </row>
    <row r="64" ht="15" customHeight="1" s="27">
      <c r="A64" s="33" t="inlineStr">
        <is>
          <t>location</t>
        </is>
      </c>
      <c r="B64" s="33" t="inlineStr">
        <is>
          <t>Old Airport Road</t>
        </is>
      </c>
      <c r="C64" s="56" t="n">
        <v>118.979747574437</v>
      </c>
    </row>
    <row r="65" ht="15" customHeight="1" s="27">
      <c r="A65" s="33" t="inlineStr">
        <is>
          <t>location</t>
        </is>
      </c>
      <c r="B65" s="33" t="inlineStr">
        <is>
          <t>Other</t>
        </is>
      </c>
      <c r="C65" s="56" t="n">
        <v>16.3058404067884</v>
      </c>
    </row>
    <row r="66" ht="15" customHeight="1" s="27">
      <c r="A66" s="33" t="inlineStr">
        <is>
          <t>location</t>
        </is>
      </c>
      <c r="B66" s="33" t="inlineStr">
        <is>
          <t>Rajajinagar</t>
        </is>
      </c>
      <c r="C66" s="56" t="n">
        <v>-8.80907556329795</v>
      </c>
    </row>
    <row r="67" ht="15" customHeight="1" s="27">
      <c r="A67" s="33" t="inlineStr">
        <is>
          <t>location</t>
        </is>
      </c>
      <c r="B67" s="33" t="inlineStr">
        <is>
          <t>Residency Road</t>
        </is>
      </c>
      <c r="C67" s="56" t="n">
        <v>260.597962584131</v>
      </c>
    </row>
    <row r="68" ht="15" customHeight="1" s="27">
      <c r="A68" s="33" t="inlineStr">
        <is>
          <t>location</t>
        </is>
      </c>
      <c r="B68" s="33" t="inlineStr">
        <is>
          <t>Richmond Road</t>
        </is>
      </c>
      <c r="C68" s="56" t="n">
        <v>216.307880263232</v>
      </c>
    </row>
    <row r="69" ht="15" customHeight="1" s="27">
      <c r="A69" s="33" t="inlineStr">
        <is>
          <t>location</t>
        </is>
      </c>
      <c r="B69" s="33" t="inlineStr">
        <is>
          <t>Sarjapur Road</t>
        </is>
      </c>
      <c r="C69" s="56" t="n">
        <v>-9.91136929804699</v>
      </c>
    </row>
    <row r="70" ht="15" customHeight="1" s="27">
      <c r="A70" s="33" t="inlineStr">
        <is>
          <t>location</t>
        </is>
      </c>
      <c r="B70" s="33" t="inlineStr">
        <is>
          <t>Ulsoor</t>
        </is>
      </c>
      <c r="C70" s="56" t="n">
        <v>123.083833259046</v>
      </c>
    </row>
    <row r="71" ht="15" customHeight="1" s="27">
      <c r="A71" s="33" t="inlineStr">
        <is>
          <t>location</t>
        </is>
      </c>
      <c r="B71" s="33" t="inlineStr">
        <is>
          <t>Whitefield</t>
        </is>
      </c>
      <c r="C71" s="56" t="n">
        <v>42.3579222953889</v>
      </c>
    </row>
    <row r="72" ht="15" customHeight="1" s="27">
      <c r="A72" s="33" t="inlineStr">
        <is>
          <t>location</t>
        </is>
      </c>
      <c r="B72" s="33" t="inlineStr">
        <is>
          <t>Yeshwantpur</t>
        </is>
      </c>
      <c r="C72" s="56" t="n">
        <v>-23.6788585641835</v>
      </c>
    </row>
    <row r="73" ht="15" customHeight="1" s="27">
      <c r="A73" s="33" t="inlineStr">
        <is>
          <t>n_cuisines</t>
        </is>
      </c>
      <c r="B73" s="33" t="inlineStr">
        <is>
          <t>(numeric – multiply by value)</t>
        </is>
      </c>
      <c r="C73" s="56" t="n">
        <v>35.5214691919802</v>
      </c>
    </row>
    <row r="74" ht="15" customHeight="1" s="27">
      <c r="A74" s="33" t="inlineStr">
        <is>
          <t>online_order</t>
        </is>
      </c>
      <c r="B74" s="33" t="inlineStr">
        <is>
          <t>No</t>
        </is>
      </c>
      <c r="C74" s="56" t="n">
        <v>14.6266359861597</v>
      </c>
    </row>
    <row r="75" ht="15" customHeight="1" s="27">
      <c r="A75" s="33" t="inlineStr">
        <is>
          <t>online_order</t>
        </is>
      </c>
      <c r="B75" s="33" t="inlineStr">
        <is>
          <t>Yes</t>
        </is>
      </c>
      <c r="C75" s="56" t="n">
        <v>-14.6266359861581</v>
      </c>
    </row>
    <row r="76" ht="15" customHeight="1" s="27">
      <c r="A76" s="33" t="inlineStr">
        <is>
          <t>primary_type</t>
        </is>
      </c>
      <c r="B76" s="33" t="inlineStr">
        <is>
          <t>Bakery</t>
        </is>
      </c>
      <c r="C76" s="56" t="n">
        <v>-134.358028231108</v>
      </c>
    </row>
    <row r="77" ht="15" customHeight="1" s="27">
      <c r="A77" s="33" t="inlineStr">
        <is>
          <t>primary_type</t>
        </is>
      </c>
      <c r="B77" s="33" t="inlineStr">
        <is>
          <t>Bar</t>
        </is>
      </c>
      <c r="C77" s="56" t="n">
        <v>341.441318173615</v>
      </c>
    </row>
    <row r="78" ht="15" customHeight="1" s="27">
      <c r="A78" s="33" t="inlineStr">
        <is>
          <t>primary_type</t>
        </is>
      </c>
      <c r="B78" s="33" t="inlineStr">
        <is>
          <t>Beverage Shop</t>
        </is>
      </c>
      <c r="C78" s="56" t="n">
        <v>-218.174622073779</v>
      </c>
    </row>
    <row r="79" ht="15" customHeight="1" s="27">
      <c r="A79" s="33" t="inlineStr">
        <is>
          <t>primary_type</t>
        </is>
      </c>
      <c r="B79" s="33" t="inlineStr">
        <is>
          <t>Cafe</t>
        </is>
      </c>
      <c r="C79" s="56" t="n">
        <v>52.1209628772034</v>
      </c>
    </row>
    <row r="80" ht="15" customHeight="1" s="27">
      <c r="A80" s="33" t="inlineStr">
        <is>
          <t>primary_type</t>
        </is>
      </c>
      <c r="B80" s="33" t="inlineStr">
        <is>
          <t>Casual Dining</t>
        </is>
      </c>
      <c r="C80" s="56" t="n">
        <v>153.709480195905</v>
      </c>
    </row>
    <row r="81" ht="15" customHeight="1" s="27">
      <c r="A81" s="33" t="inlineStr">
        <is>
          <t>primary_type</t>
        </is>
      </c>
      <c r="B81" s="33" t="inlineStr">
        <is>
          <t>Delivery</t>
        </is>
      </c>
      <c r="C81" s="56" t="n">
        <v>-54.9319134162031</v>
      </c>
    </row>
    <row r="82" ht="15" customHeight="1" s="27">
      <c r="A82" s="33" t="inlineStr">
        <is>
          <t>primary_type</t>
        </is>
      </c>
      <c r="B82" s="33" t="inlineStr">
        <is>
          <t>Dessert Parlor</t>
        </is>
      </c>
      <c r="C82" s="56" t="n">
        <v>-165.095553207867</v>
      </c>
    </row>
    <row r="83" ht="15" customHeight="1" s="27">
      <c r="A83" s="33" t="inlineStr">
        <is>
          <t>primary_type</t>
        </is>
      </c>
      <c r="B83" s="33" t="inlineStr">
        <is>
          <t>Food Court</t>
        </is>
      </c>
      <c r="C83" s="56" t="n">
        <v>-59.3180335321389</v>
      </c>
    </row>
    <row r="84" ht="15" customHeight="1" s="27">
      <c r="A84" s="33" t="inlineStr">
        <is>
          <t>primary_type</t>
        </is>
      </c>
      <c r="B84" s="33" t="inlineStr">
        <is>
          <t>Other</t>
        </is>
      </c>
      <c r="C84" s="56" t="n">
        <v>538.2119422213819</v>
      </c>
    </row>
    <row r="85" ht="15" customHeight="1" s="27">
      <c r="A85" s="33" t="inlineStr">
        <is>
          <t>primary_type</t>
        </is>
      </c>
      <c r="B85" s="33" t="inlineStr">
        <is>
          <t>Quick Bites</t>
        </is>
      </c>
      <c r="C85" s="56" t="n">
        <v>-154.987340377437</v>
      </c>
    </row>
    <row r="86" ht="15" customHeight="1" s="27">
      <c r="A86" s="33" t="inlineStr">
        <is>
          <t>primary_type</t>
        </is>
      </c>
      <c r="B86" s="33" t="inlineStr">
        <is>
          <t>Sweet Shop</t>
        </is>
      </c>
      <c r="C86" s="56" t="n">
        <v>-190.873481638528</v>
      </c>
    </row>
    <row r="87" ht="15" customHeight="1" s="27">
      <c r="A87" s="33" t="inlineStr">
        <is>
          <t>primary_type</t>
        </is>
      </c>
      <c r="B87" s="33" t="inlineStr">
        <is>
          <t>Takeaway</t>
        </is>
      </c>
      <c r="C87" s="56" t="n">
        <v>-107.744730991047</v>
      </c>
    </row>
    <row r="89" ht="15" customHeight="1" s="27">
      <c r="A89" s="53" t="inlineStr">
        <is>
          <t>App formula: score = Intercept + Σ coefficient of the chosen level for each categorical input + coef(n_cuisines)×n_cuisines.  Predicted cost for two (₹) = score.</t>
        </is>
      </c>
    </row>
    <row r="90" ht="15" customHeight="1" s="27">
      <c r="A90" s="53" t="inlineStr">
        <is>
          <t>Coefficients come from the FINAL model trained on 9,234 restaurants (hold-out rows excluded). Orange creates a 0/1 column for every level, so compare levels within a variable rather than reading one coefficient alone.</t>
        </is>
      </c>
    </row>
    <row r="92">
      <c r="A92" s="69" t="inlineStr">
        <is>
          <t>Note: Orange lists both the Yes and the No level of each Yes/No input. The Yes-vs-No effect is the difference between them,</t>
        </is>
      </c>
    </row>
    <row r="93">
      <c r="A93" s="69" t="inlineStr">
        <is>
          <t>e.g. book_table: +208.2 − (−208.2) = +₹416 for offering table booking, not +₹208. The app does not use this formula.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6" min="1" max="1"/>
    <col width="40" customWidth="1" style="26" min="2" max="2"/>
    <col width="14" customWidth="1" style="26" min="3" max="3"/>
    <col width="22" customWidth="1" style="26" min="4" max="4"/>
  </cols>
  <sheetData>
    <row r="1" ht="17.35" customHeight="1" s="27">
      <c r="A1" s="28" t="inlineStr">
        <is>
          <t>Logistic Regression – P(rating ≥ 4.0)</t>
        </is>
      </c>
    </row>
    <row r="2" ht="15" customHeight="1" s="27">
      <c r="A2" s="51" t="inlineStr">
        <is>
          <t>Intercept</t>
        </is>
      </c>
      <c r="C2" s="53" t="n">
        <v>-0.230375268433997</v>
      </c>
    </row>
    <row r="4" ht="26.85" customHeight="1" s="27">
      <c r="A4" s="32" t="inlineStr">
        <is>
          <t>Variable</t>
        </is>
      </c>
      <c r="B4" s="32" t="inlineStr">
        <is>
          <t>Level</t>
        </is>
      </c>
      <c r="C4" s="32" t="inlineStr">
        <is>
          <t>Coefficient</t>
        </is>
      </c>
      <c r="D4" s="32" t="inlineStr">
        <is>
          <t>Odds ratio = EXP(coef)</t>
        </is>
      </c>
    </row>
    <row r="5" ht="15" customHeight="1" s="27">
      <c r="A5" s="33" t="inlineStr">
        <is>
          <t>book_table</t>
        </is>
      </c>
      <c r="B5" s="33" t="inlineStr">
        <is>
          <t>No</t>
        </is>
      </c>
      <c r="C5" s="56" t="n">
        <v>-1.11603871875069</v>
      </c>
      <c r="D5" s="48">
        <f>EXP(C5)</f>
        <v/>
      </c>
    </row>
    <row r="6" ht="15" customHeight="1" s="27">
      <c r="A6" s="33" t="inlineStr">
        <is>
          <t>book_table</t>
        </is>
      </c>
      <c r="B6" s="33" t="inlineStr">
        <is>
          <t>Yes</t>
        </is>
      </c>
      <c r="C6" s="56" t="n">
        <v>0.8879867152602789</v>
      </c>
      <c r="D6" s="48">
        <f>EXP(C6)</f>
        <v/>
      </c>
    </row>
    <row r="7" ht="15" customHeight="1" s="27">
      <c r="A7" s="33" t="inlineStr">
        <is>
          <t>c_Bakery</t>
        </is>
      </c>
      <c r="B7" s="33" t="inlineStr">
        <is>
          <t>No</t>
        </is>
      </c>
      <c r="C7" s="56" t="n">
        <v>0.068426290197746</v>
      </c>
      <c r="D7" s="48">
        <f>EXP(C7)</f>
        <v/>
      </c>
    </row>
    <row r="8" ht="15" customHeight="1" s="27">
      <c r="A8" s="33" t="inlineStr">
        <is>
          <t>c_Bakery</t>
        </is>
      </c>
      <c r="B8" s="33" t="inlineStr">
        <is>
          <t>Yes</t>
        </is>
      </c>
      <c r="C8" s="56" t="n">
        <v>-0.296478293712933</v>
      </c>
      <c r="D8" s="48">
        <f>EXP(C8)</f>
        <v/>
      </c>
    </row>
    <row r="9" ht="15" customHeight="1" s="27">
      <c r="A9" s="33" t="inlineStr">
        <is>
          <t>c_Beverages</t>
        </is>
      </c>
      <c r="B9" s="33" t="inlineStr">
        <is>
          <t>No</t>
        </is>
      </c>
      <c r="C9" s="56" t="n">
        <v>-0.127607015613207</v>
      </c>
      <c r="D9" s="48">
        <f>EXP(C9)</f>
        <v/>
      </c>
    </row>
    <row r="10" ht="15" customHeight="1" s="27">
      <c r="A10" s="33" t="inlineStr">
        <is>
          <t>c_Beverages</t>
        </is>
      </c>
      <c r="B10" s="33" t="inlineStr">
        <is>
          <t>Yes</t>
        </is>
      </c>
      <c r="C10" s="56" t="n">
        <v>-0.100444987895441</v>
      </c>
      <c r="D10" s="48">
        <f>EXP(C10)</f>
        <v/>
      </c>
    </row>
    <row r="11" ht="15" customHeight="1" s="27">
      <c r="A11" s="33" t="inlineStr">
        <is>
          <t>c_Biryani</t>
        </is>
      </c>
      <c r="B11" s="33" t="inlineStr">
        <is>
          <t>No</t>
        </is>
      </c>
      <c r="C11" s="56" t="n">
        <v>0.196597269059228</v>
      </c>
      <c r="D11" s="48">
        <f>EXP(C11)</f>
        <v/>
      </c>
    </row>
    <row r="12" ht="15" customHeight="1" s="27">
      <c r="A12" s="33" t="inlineStr">
        <is>
          <t>c_Biryani</t>
        </is>
      </c>
      <c r="B12" s="33" t="inlineStr">
        <is>
          <t>Yes</t>
        </is>
      </c>
      <c r="C12" s="56" t="n">
        <v>-0.424649272579414</v>
      </c>
      <c r="D12" s="48">
        <f>EXP(C12)</f>
        <v/>
      </c>
    </row>
    <row r="13" ht="15" customHeight="1" s="27">
      <c r="A13" s="33" t="inlineStr">
        <is>
          <t>c_Cafe</t>
        </is>
      </c>
      <c r="B13" s="33" t="inlineStr">
        <is>
          <t>No</t>
        </is>
      </c>
      <c r="C13" s="56" t="n">
        <v>-0.288047146968323</v>
      </c>
      <c r="D13" s="48">
        <f>EXP(C13)</f>
        <v/>
      </c>
    </row>
    <row r="14" ht="15" customHeight="1" s="27">
      <c r="A14" s="33" t="inlineStr">
        <is>
          <t>c_Cafe</t>
        </is>
      </c>
      <c r="B14" s="33" t="inlineStr">
        <is>
          <t>Yes</t>
        </is>
      </c>
      <c r="C14" s="56" t="n">
        <v>0.0599951434596322</v>
      </c>
      <c r="D14" s="48">
        <f>EXP(C14)</f>
        <v/>
      </c>
    </row>
    <row r="15" ht="15" customHeight="1" s="27">
      <c r="A15" s="33" t="inlineStr">
        <is>
          <t>c_Chinese</t>
        </is>
      </c>
      <c r="B15" s="33" t="inlineStr">
        <is>
          <t>No</t>
        </is>
      </c>
      <c r="C15" s="56" t="n">
        <v>0.365648219416362</v>
      </c>
      <c r="D15" s="48">
        <f>EXP(C15)</f>
        <v/>
      </c>
    </row>
    <row r="16" ht="15" customHeight="1" s="27">
      <c r="A16" s="33" t="inlineStr">
        <is>
          <t>c_Chinese</t>
        </is>
      </c>
      <c r="B16" s="33" t="inlineStr">
        <is>
          <t>Yes</t>
        </is>
      </c>
      <c r="C16" s="56" t="n">
        <v>-0.593700222911284</v>
      </c>
      <c r="D16" s="48">
        <f>EXP(C16)</f>
        <v/>
      </c>
    </row>
    <row r="17" ht="15" customHeight="1" s="27">
      <c r="A17" s="33" t="inlineStr">
        <is>
          <t>c_Continental</t>
        </is>
      </c>
      <c r="B17" s="33" t="inlineStr">
        <is>
          <t>No</t>
        </is>
      </c>
      <c r="C17" s="56" t="n">
        <v>-0.0182645966911532</v>
      </c>
      <c r="D17" s="48">
        <f>EXP(C17)</f>
        <v/>
      </c>
    </row>
    <row r="18" ht="15" customHeight="1" s="27">
      <c r="A18" s="33" t="inlineStr">
        <is>
          <t>c_Continental</t>
        </is>
      </c>
      <c r="B18" s="33" t="inlineStr">
        <is>
          <t>Yes</t>
        </is>
      </c>
      <c r="C18" s="56" t="n">
        <v>-0.209787406817462</v>
      </c>
      <c r="D18" s="48">
        <f>EXP(C18)</f>
        <v/>
      </c>
    </row>
    <row r="19" ht="15" customHeight="1" s="27">
      <c r="A19" s="33" t="inlineStr">
        <is>
          <t>c_Desserts</t>
        </is>
      </c>
      <c r="B19" s="33" t="inlineStr">
        <is>
          <t>No</t>
        </is>
      </c>
      <c r="C19" s="56" t="n">
        <v>-0.412506285472761</v>
      </c>
      <c r="D19" s="48">
        <f>EXP(C19)</f>
        <v/>
      </c>
    </row>
    <row r="20" ht="15" customHeight="1" s="27">
      <c r="A20" s="33" t="inlineStr">
        <is>
          <t>c_Desserts</t>
        </is>
      </c>
      <c r="B20" s="33" t="inlineStr">
        <is>
          <t>Yes</t>
        </is>
      </c>
      <c r="C20" s="56" t="n">
        <v>0.184454281965682</v>
      </c>
      <c r="D20" s="48">
        <f>EXP(C20)</f>
        <v/>
      </c>
    </row>
    <row r="21" ht="15" customHeight="1" s="27">
      <c r="A21" s="33" t="inlineStr">
        <is>
          <t>c_Fast_Food</t>
        </is>
      </c>
      <c r="B21" s="33" t="inlineStr">
        <is>
          <t>No</t>
        </is>
      </c>
      <c r="C21" s="56" t="n">
        <v>0.13491424483119</v>
      </c>
      <c r="D21" s="48">
        <f>EXP(C21)</f>
        <v/>
      </c>
    </row>
    <row r="22" ht="15" customHeight="1" s="27">
      <c r="A22" s="33" t="inlineStr">
        <is>
          <t>c_Fast_Food</t>
        </is>
      </c>
      <c r="B22" s="33" t="inlineStr">
        <is>
          <t>Yes</t>
        </is>
      </c>
      <c r="C22" s="56" t="n">
        <v>-0.362966248337974</v>
      </c>
      <c r="D22" s="48">
        <f>EXP(C22)</f>
        <v/>
      </c>
    </row>
    <row r="23" ht="15" customHeight="1" s="27">
      <c r="A23" s="33" t="inlineStr">
        <is>
          <t>c_Italian</t>
        </is>
      </c>
      <c r="B23" s="33" t="inlineStr">
        <is>
          <t>No</t>
        </is>
      </c>
      <c r="C23" s="56" t="n">
        <v>-0.222785944383603</v>
      </c>
      <c r="D23" s="48">
        <f>EXP(C23)</f>
        <v/>
      </c>
    </row>
    <row r="24" ht="15" customHeight="1" s="27">
      <c r="A24" s="33" t="inlineStr">
        <is>
          <t>c_Italian</t>
        </is>
      </c>
      <c r="B24" s="33" t="inlineStr">
        <is>
          <t>Yes</t>
        </is>
      </c>
      <c r="C24" s="56" t="n">
        <v>-0.00526605913366565</v>
      </c>
      <c r="D24" s="48">
        <f>EXP(C24)</f>
        <v/>
      </c>
    </row>
    <row r="25" ht="15" customHeight="1" s="27">
      <c r="A25" s="33" t="inlineStr">
        <is>
          <t>c_North_Indian</t>
        </is>
      </c>
      <c r="B25" s="33" t="inlineStr">
        <is>
          <t>No</t>
        </is>
      </c>
      <c r="C25" s="56" t="n">
        <v>0.192669322600418</v>
      </c>
      <c r="D25" s="48">
        <f>EXP(C25)</f>
        <v/>
      </c>
    </row>
    <row r="26" ht="15" customHeight="1" s="27">
      <c r="A26" s="33" t="inlineStr">
        <is>
          <t>c_North_Indian</t>
        </is>
      </c>
      <c r="B26" s="33" t="inlineStr">
        <is>
          <t>Yes</t>
        </is>
      </c>
      <c r="C26" s="56" t="n">
        <v>-0.420721326108323</v>
      </c>
      <c r="D26" s="48">
        <f>EXP(C26)</f>
        <v/>
      </c>
    </row>
    <row r="27" ht="15" customHeight="1" s="27">
      <c r="A27" s="33" t="inlineStr">
        <is>
          <t>c_South_Indian</t>
        </is>
      </c>
      <c r="B27" s="33" t="inlineStr">
        <is>
          <t>No</t>
        </is>
      </c>
      <c r="C27" s="56" t="n">
        <v>-0.0976426766697714</v>
      </c>
      <c r="D27" s="48">
        <f>EXP(C27)</f>
        <v/>
      </c>
    </row>
    <row r="28" ht="15" customHeight="1" s="27">
      <c r="A28" s="33" t="inlineStr">
        <is>
          <t>c_South_Indian</t>
        </is>
      </c>
      <c r="B28" s="33" t="inlineStr">
        <is>
          <t>Yes</t>
        </is>
      </c>
      <c r="C28" s="56" t="n">
        <v>-0.130409326846151</v>
      </c>
      <c r="D28" s="48">
        <f>EXP(C28)</f>
        <v/>
      </c>
    </row>
    <row r="29" ht="15" customHeight="1" s="27">
      <c r="A29" s="33" t="inlineStr">
        <is>
          <t>c_Street_Food</t>
        </is>
      </c>
      <c r="B29" s="33" t="inlineStr">
        <is>
          <t>No</t>
        </is>
      </c>
      <c r="C29" s="56" t="n">
        <v>-0.451640353491212</v>
      </c>
      <c r="D29" s="48">
        <f>EXP(C29)</f>
        <v/>
      </c>
    </row>
    <row r="30" ht="15" customHeight="1" s="27">
      <c r="A30" s="33" t="inlineStr">
        <is>
          <t>c_Street_Food</t>
        </is>
      </c>
      <c r="B30" s="33" t="inlineStr">
        <is>
          <t>Yes</t>
        </is>
      </c>
      <c r="C30" s="56" t="n">
        <v>0.223588349982992</v>
      </c>
      <c r="D30" s="48">
        <f>EXP(C30)</f>
        <v/>
      </c>
    </row>
    <row r="31" ht="15" customHeight="1" s="27">
      <c r="A31" s="33" t="inlineStr">
        <is>
          <t>cost_for_two</t>
        </is>
      </c>
      <c r="B31" s="33" t="inlineStr">
        <is>
          <t>(numeric – multiply by value)</t>
        </is>
      </c>
      <c r="C31" s="56" t="n">
        <v>0.00123082591578719</v>
      </c>
      <c r="D31" s="48">
        <f>EXP(C31)</f>
        <v/>
      </c>
    </row>
    <row r="32" ht="15" customHeight="1" s="27">
      <c r="A32" s="33" t="inlineStr">
        <is>
          <t>has_bar</t>
        </is>
      </c>
      <c r="B32" s="33" t="inlineStr">
        <is>
          <t>No</t>
        </is>
      </c>
      <c r="C32" s="56" t="n">
        <v>-0.235232956474983</v>
      </c>
      <c r="D32" s="48">
        <f>EXP(C32)</f>
        <v/>
      </c>
    </row>
    <row r="33" ht="15" customHeight="1" s="27">
      <c r="A33" s="33" t="inlineStr">
        <is>
          <t>has_bar</t>
        </is>
      </c>
      <c r="B33" s="33" t="inlineStr">
        <is>
          <t>Yes</t>
        </is>
      </c>
      <c r="C33" s="56" t="n">
        <v>0.00718095296242737</v>
      </c>
      <c r="D33" s="48">
        <f>EXP(C33)</f>
        <v/>
      </c>
    </row>
    <row r="34" ht="15" customHeight="1" s="27">
      <c r="A34" s="33" t="inlineStr">
        <is>
          <t>location</t>
        </is>
      </c>
      <c r="B34" s="33" t="inlineStr">
        <is>
          <t>BTM</t>
        </is>
      </c>
      <c r="C34" s="56" t="n">
        <v>-0.123141515195358</v>
      </c>
      <c r="D34" s="48">
        <f>EXP(C34)</f>
        <v/>
      </c>
    </row>
    <row r="35" ht="15" customHeight="1" s="27">
      <c r="A35" s="33" t="inlineStr">
        <is>
          <t>location</t>
        </is>
      </c>
      <c r="B35" s="33" t="inlineStr">
        <is>
          <t>Banashankari</t>
        </is>
      </c>
      <c r="C35" s="56" t="n">
        <v>-0.0287935644883616</v>
      </c>
      <c r="D35" s="48">
        <f>EXP(C35)</f>
        <v/>
      </c>
    </row>
    <row r="36" ht="15" customHeight="1" s="27">
      <c r="A36" s="33" t="inlineStr">
        <is>
          <t>location</t>
        </is>
      </c>
      <c r="B36" s="33" t="inlineStr">
        <is>
          <t>Banaswadi</t>
        </is>
      </c>
      <c r="C36" s="56" t="n">
        <v>-0.224939115560561</v>
      </c>
      <c r="D36" s="48">
        <f>EXP(C36)</f>
        <v/>
      </c>
    </row>
    <row r="37" ht="15" customHeight="1" s="27">
      <c r="A37" s="33" t="inlineStr">
        <is>
          <t>location</t>
        </is>
      </c>
      <c r="B37" s="33" t="inlineStr">
        <is>
          <t>Bannerghatta Road</t>
        </is>
      </c>
      <c r="C37" s="56" t="n">
        <v>-0.28040146096048</v>
      </c>
      <c r="D37" s="48">
        <f>EXP(C37)</f>
        <v/>
      </c>
    </row>
    <row r="38" ht="15" customHeight="1" s="27">
      <c r="A38" s="33" t="inlineStr">
        <is>
          <t>location</t>
        </is>
      </c>
      <c r="B38" s="33" t="inlineStr">
        <is>
          <t>Basavanagudi</t>
        </is>
      </c>
      <c r="C38" s="56" t="n">
        <v>0.0835977668165894</v>
      </c>
      <c r="D38" s="48">
        <f>EXP(C38)</f>
        <v/>
      </c>
    </row>
    <row r="39" ht="15" customHeight="1" s="27">
      <c r="A39" s="33" t="inlineStr">
        <is>
          <t>location</t>
        </is>
      </c>
      <c r="B39" s="33" t="inlineStr">
        <is>
          <t>Basaveshwara Nagar</t>
        </is>
      </c>
      <c r="C39" s="56" t="n">
        <v>-0.0611048438054572</v>
      </c>
      <c r="D39" s="48">
        <f>EXP(C39)</f>
        <v/>
      </c>
    </row>
    <row r="40" ht="15" customHeight="1" s="27">
      <c r="A40" s="33" t="inlineStr">
        <is>
          <t>location</t>
        </is>
      </c>
      <c r="B40" s="33" t="inlineStr">
        <is>
          <t>Bellandur</t>
        </is>
      </c>
      <c r="C40" s="56" t="n">
        <v>-0.132881885932514</v>
      </c>
      <c r="D40" s="48">
        <f>EXP(C40)</f>
        <v/>
      </c>
    </row>
    <row r="41" ht="15" customHeight="1" s="27">
      <c r="A41" s="33" t="inlineStr">
        <is>
          <t>location</t>
        </is>
      </c>
      <c r="B41" s="33" t="inlineStr">
        <is>
          <t>Brigade Road</t>
        </is>
      </c>
      <c r="C41" s="56" t="n">
        <v>-0.007835532512467901</v>
      </c>
      <c r="D41" s="48">
        <f>EXP(C41)</f>
        <v/>
      </c>
    </row>
    <row r="42" ht="15" customHeight="1" s="27">
      <c r="A42" s="33" t="inlineStr">
        <is>
          <t>location</t>
        </is>
      </c>
      <c r="B42" s="33" t="inlineStr">
        <is>
          <t>Brookefield</t>
        </is>
      </c>
      <c r="C42" s="56" t="n">
        <v>0.00770215577959119</v>
      </c>
      <c r="D42" s="48">
        <f>EXP(C42)</f>
        <v/>
      </c>
    </row>
    <row r="43" ht="15" customHeight="1" s="27">
      <c r="A43" s="33" t="inlineStr">
        <is>
          <t>location</t>
        </is>
      </c>
      <c r="B43" s="33" t="inlineStr">
        <is>
          <t>Domlur</t>
        </is>
      </c>
      <c r="C43" s="56" t="n">
        <v>-0.0343453811087888</v>
      </c>
      <c r="D43" s="48">
        <f>EXP(C43)</f>
        <v/>
      </c>
    </row>
    <row r="44" ht="15" customHeight="1" s="27">
      <c r="A44" s="33" t="inlineStr">
        <is>
          <t>location</t>
        </is>
      </c>
      <c r="B44" s="33" t="inlineStr">
        <is>
          <t>Electronic City</t>
        </is>
      </c>
      <c r="C44" s="56" t="n">
        <v>-0.430346120192041</v>
      </c>
      <c r="D44" s="48">
        <f>EXP(C44)</f>
        <v/>
      </c>
    </row>
    <row r="45" ht="15" customHeight="1" s="27">
      <c r="A45" s="33" t="inlineStr">
        <is>
          <t>location</t>
        </is>
      </c>
      <c r="B45" s="33" t="inlineStr">
        <is>
          <t>Frazer Town</t>
        </is>
      </c>
      <c r="C45" s="56" t="n">
        <v>-0.0125492887433449</v>
      </c>
      <c r="D45" s="48">
        <f>EXP(C45)</f>
        <v/>
      </c>
    </row>
    <row r="46" ht="15" customHeight="1" s="27">
      <c r="A46" s="33" t="inlineStr">
        <is>
          <t>location</t>
        </is>
      </c>
      <c r="B46" s="33" t="inlineStr">
        <is>
          <t>HSR</t>
        </is>
      </c>
      <c r="C46" s="56" t="n">
        <v>-0.039875423010344</v>
      </c>
      <c r="D46" s="48">
        <f>EXP(C46)</f>
        <v/>
      </c>
    </row>
    <row r="47" ht="15" customHeight="1" s="27">
      <c r="A47" s="33" t="inlineStr">
        <is>
          <t>location</t>
        </is>
      </c>
      <c r="B47" s="33" t="inlineStr">
        <is>
          <t>Indiranagar</t>
        </is>
      </c>
      <c r="C47" s="56" t="n">
        <v>0.400789720913856</v>
      </c>
      <c r="D47" s="48">
        <f>EXP(C47)</f>
        <v/>
      </c>
    </row>
    <row r="48" ht="15" customHeight="1" s="27">
      <c r="A48" s="33" t="inlineStr">
        <is>
          <t>location</t>
        </is>
      </c>
      <c r="B48" s="33" t="inlineStr">
        <is>
          <t>JP Nagar</t>
        </is>
      </c>
      <c r="C48" s="56" t="n">
        <v>0.049828707897685</v>
      </c>
      <c r="D48" s="48">
        <f>EXP(C48)</f>
        <v/>
      </c>
    </row>
    <row r="49" ht="15" customHeight="1" s="27">
      <c r="A49" s="33" t="inlineStr">
        <is>
          <t>location</t>
        </is>
      </c>
      <c r="B49" s="33" t="inlineStr">
        <is>
          <t>Jayanagar</t>
        </is>
      </c>
      <c r="C49" s="56" t="n">
        <v>0.258046739541454</v>
      </c>
      <c r="D49" s="48">
        <f>EXP(C49)</f>
        <v/>
      </c>
    </row>
    <row r="50" ht="15" customHeight="1" s="27">
      <c r="A50" s="33" t="inlineStr">
        <is>
          <t>location</t>
        </is>
      </c>
      <c r="B50" s="33" t="inlineStr">
        <is>
          <t>Jeevan Bhima Nagar</t>
        </is>
      </c>
      <c r="C50" s="56" t="n">
        <v>0.0141969554330488</v>
      </c>
      <c r="D50" s="48">
        <f>EXP(C50)</f>
        <v/>
      </c>
    </row>
    <row r="51" ht="15" customHeight="1" s="27">
      <c r="A51" s="33" t="inlineStr">
        <is>
          <t>location</t>
        </is>
      </c>
      <c r="B51" s="33" t="inlineStr">
        <is>
          <t>Kalyan Nagar</t>
        </is>
      </c>
      <c r="C51" s="56" t="n">
        <v>0.0604464311228342</v>
      </c>
      <c r="D51" s="48">
        <f>EXP(C51)</f>
        <v/>
      </c>
    </row>
    <row r="52" ht="15" customHeight="1" s="27">
      <c r="A52" s="33" t="inlineStr">
        <is>
          <t>location</t>
        </is>
      </c>
      <c r="B52" s="33" t="inlineStr">
        <is>
          <t>Kammanahalli</t>
        </is>
      </c>
      <c r="C52" s="56" t="n">
        <v>0.0109730084111244</v>
      </c>
      <c r="D52" s="48">
        <f>EXP(C52)</f>
        <v/>
      </c>
    </row>
    <row r="53" ht="15" customHeight="1" s="27">
      <c r="A53" s="33" t="inlineStr">
        <is>
          <t>location</t>
        </is>
      </c>
      <c r="B53" s="33" t="inlineStr">
        <is>
          <t>Koramangala 1st Block</t>
        </is>
      </c>
      <c r="C53" s="56" t="n">
        <v>0.0454933965002962</v>
      </c>
      <c r="D53" s="48">
        <f>EXP(C53)</f>
        <v/>
      </c>
    </row>
    <row r="54" ht="15" customHeight="1" s="27">
      <c r="A54" s="33" t="inlineStr">
        <is>
          <t>location</t>
        </is>
      </c>
      <c r="B54" s="33" t="inlineStr">
        <is>
          <t>Koramangala 4th Block</t>
        </is>
      </c>
      <c r="C54" s="56" t="n">
        <v>0.12263766988581</v>
      </c>
      <c r="D54" s="48">
        <f>EXP(C54)</f>
        <v/>
      </c>
    </row>
    <row r="55" ht="15" customHeight="1" s="27">
      <c r="A55" s="33" t="inlineStr">
        <is>
          <t>location</t>
        </is>
      </c>
      <c r="B55" s="33" t="inlineStr">
        <is>
          <t>Koramangala 5th Block</t>
        </is>
      </c>
      <c r="C55" s="56" t="n">
        <v>0.500197276310999</v>
      </c>
      <c r="D55" s="48">
        <f>EXP(C55)</f>
        <v/>
      </c>
    </row>
    <row r="56" ht="15" customHeight="1" s="27">
      <c r="A56" s="33" t="inlineStr">
        <is>
          <t>location</t>
        </is>
      </c>
      <c r="B56" s="33" t="inlineStr">
        <is>
          <t>Koramangala 6th Block</t>
        </is>
      </c>
      <c r="C56" s="56" t="n">
        <v>0.181220463191083</v>
      </c>
      <c r="D56" s="48">
        <f>EXP(C56)</f>
        <v/>
      </c>
    </row>
    <row r="57" ht="15" customHeight="1" s="27">
      <c r="A57" s="33" t="inlineStr">
        <is>
          <t>location</t>
        </is>
      </c>
      <c r="B57" s="33" t="inlineStr">
        <is>
          <t>Koramangala 7th Block</t>
        </is>
      </c>
      <c r="C57" s="56" t="n">
        <v>0.0739062023813508</v>
      </c>
      <c r="D57" s="48">
        <f>EXP(C57)</f>
        <v/>
      </c>
    </row>
    <row r="58" ht="15" customHeight="1" s="27">
      <c r="A58" s="33" t="inlineStr">
        <is>
          <t>location</t>
        </is>
      </c>
      <c r="B58" s="33" t="inlineStr">
        <is>
          <t>Kumaraswamy Layout</t>
        </is>
      </c>
      <c r="C58" s="56" t="n">
        <v>-0.0792805603147012</v>
      </c>
      <c r="D58" s="48">
        <f>EXP(C58)</f>
        <v/>
      </c>
    </row>
    <row r="59" ht="15" customHeight="1" s="27">
      <c r="A59" s="33" t="inlineStr">
        <is>
          <t>location</t>
        </is>
      </c>
      <c r="B59" s="33" t="inlineStr">
        <is>
          <t>MG Road</t>
        </is>
      </c>
      <c r="C59" s="56" t="n">
        <v>-0.0449735132168862</v>
      </c>
      <c r="D59" s="48">
        <f>EXP(C59)</f>
        <v/>
      </c>
    </row>
    <row r="60" ht="15" customHeight="1" s="27">
      <c r="A60" s="33" t="inlineStr">
        <is>
          <t>location</t>
        </is>
      </c>
      <c r="B60" s="33" t="inlineStr">
        <is>
          <t>Majestic</t>
        </is>
      </c>
      <c r="C60" s="56" t="n">
        <v>-0.0218156464720637</v>
      </c>
      <c r="D60" s="48">
        <f>EXP(C60)</f>
        <v/>
      </c>
    </row>
    <row r="61" ht="15" customHeight="1" s="27">
      <c r="A61" s="33" t="inlineStr">
        <is>
          <t>location</t>
        </is>
      </c>
      <c r="B61" s="33" t="inlineStr">
        <is>
          <t>Malleshwaram</t>
        </is>
      </c>
      <c r="C61" s="56" t="n">
        <v>0.294995622732039</v>
      </c>
      <c r="D61" s="48">
        <f>EXP(C61)</f>
        <v/>
      </c>
    </row>
    <row r="62" ht="15" customHeight="1" s="27">
      <c r="A62" s="33" t="inlineStr">
        <is>
          <t>location</t>
        </is>
      </c>
      <c r="B62" s="33" t="inlineStr">
        <is>
          <t>Marathahalli</t>
        </is>
      </c>
      <c r="C62" s="56" t="n">
        <v>-0.26706284369142</v>
      </c>
      <c r="D62" s="48">
        <f>EXP(C62)</f>
        <v/>
      </c>
    </row>
    <row r="63" ht="15" customHeight="1" s="27">
      <c r="A63" s="33" t="inlineStr">
        <is>
          <t>location</t>
        </is>
      </c>
      <c r="B63" s="33" t="inlineStr">
        <is>
          <t>Nagawara</t>
        </is>
      </c>
      <c r="C63" s="56" t="n">
        <v>-0.0375179666225109</v>
      </c>
      <c r="D63" s="48">
        <f>EXP(C63)</f>
        <v/>
      </c>
    </row>
    <row r="64" ht="15" customHeight="1" s="27">
      <c r="A64" s="33" t="inlineStr">
        <is>
          <t>location</t>
        </is>
      </c>
      <c r="B64" s="33" t="inlineStr">
        <is>
          <t>New BEL Road</t>
        </is>
      </c>
      <c r="C64" s="56" t="n">
        <v>0.08931146930868029</v>
      </c>
      <c r="D64" s="48">
        <f>EXP(C64)</f>
        <v/>
      </c>
    </row>
    <row r="65" ht="15" customHeight="1" s="27">
      <c r="A65" s="33" t="inlineStr">
        <is>
          <t>location</t>
        </is>
      </c>
      <c r="B65" s="33" t="inlineStr">
        <is>
          <t>Old Airport Road</t>
        </is>
      </c>
      <c r="C65" s="56" t="n">
        <v>-0.0410012888247792</v>
      </c>
      <c r="D65" s="48">
        <f>EXP(C65)</f>
        <v/>
      </c>
    </row>
    <row r="66" ht="15" customHeight="1" s="27">
      <c r="A66" s="33" t="inlineStr">
        <is>
          <t>location</t>
        </is>
      </c>
      <c r="B66" s="33" t="inlineStr">
        <is>
          <t>Other</t>
        </is>
      </c>
      <c r="C66" s="56" t="n">
        <v>-0.170623414003658</v>
      </c>
      <c r="D66" s="48">
        <f>EXP(C66)</f>
        <v/>
      </c>
    </row>
    <row r="67" ht="15" customHeight="1" s="27">
      <c r="A67" s="33" t="inlineStr">
        <is>
          <t>location</t>
        </is>
      </c>
      <c r="B67" s="33" t="inlineStr">
        <is>
          <t>Rajajinagar</t>
        </is>
      </c>
      <c r="C67" s="56" t="n">
        <v>-0.0543643834091475</v>
      </c>
      <c r="D67" s="48">
        <f>EXP(C67)</f>
        <v/>
      </c>
    </row>
    <row r="68" ht="15" customHeight="1" s="27">
      <c r="A68" s="33" t="inlineStr">
        <is>
          <t>location</t>
        </is>
      </c>
      <c r="B68" s="33" t="inlineStr">
        <is>
          <t>Residency Road</t>
        </is>
      </c>
      <c r="C68" s="56" t="n">
        <v>0.0992891562326369</v>
      </c>
      <c r="D68" s="48">
        <f>EXP(C68)</f>
        <v/>
      </c>
    </row>
    <row r="69" ht="15" customHeight="1" s="27">
      <c r="A69" s="33" t="inlineStr">
        <is>
          <t>location</t>
        </is>
      </c>
      <c r="B69" s="33" t="inlineStr">
        <is>
          <t>Richmond Road</t>
        </is>
      </c>
      <c r="C69" s="56" t="n">
        <v>0.101310913243907</v>
      </c>
      <c r="D69" s="48">
        <f>EXP(C69)</f>
        <v/>
      </c>
    </row>
    <row r="70" ht="15" customHeight="1" s="27">
      <c r="A70" s="33" t="inlineStr">
        <is>
          <t>location</t>
        </is>
      </c>
      <c r="B70" s="33" t="inlineStr">
        <is>
          <t>Sarjapur Road</t>
        </is>
      </c>
      <c r="C70" s="56" t="n">
        <v>-0.160111616208348</v>
      </c>
      <c r="D70" s="48">
        <f>EXP(C70)</f>
        <v/>
      </c>
    </row>
    <row r="71" ht="15" customHeight="1" s="27">
      <c r="A71" s="33" t="inlineStr">
        <is>
          <t>location</t>
        </is>
      </c>
      <c r="B71" s="33" t="inlineStr">
        <is>
          <t>Ulsoor</t>
        </is>
      </c>
      <c r="C71" s="56" t="n">
        <v>-0.03944316775622</v>
      </c>
      <c r="D71" s="48">
        <f>EXP(C71)</f>
        <v/>
      </c>
    </row>
    <row r="72" ht="15" customHeight="1" s="27">
      <c r="A72" s="33" t="inlineStr">
        <is>
          <t>location</t>
        </is>
      </c>
      <c r="B72" s="33" t="inlineStr">
        <is>
          <t>Whitefield</t>
        </is>
      </c>
      <c r="C72" s="56" t="n">
        <v>-0.274096085616604</v>
      </c>
      <c r="D72" s="48">
        <f>EXP(C72)</f>
        <v/>
      </c>
    </row>
    <row r="73" ht="15" customHeight="1" s="27">
      <c r="A73" s="33" t="inlineStr">
        <is>
          <t>location</t>
        </is>
      </c>
      <c r="B73" s="33" t="inlineStr">
        <is>
          <t>Yeshwantpur</t>
        </is>
      </c>
      <c r="C73" s="56" t="n">
        <v>-0.0554910415563047</v>
      </c>
      <c r="D73" s="48">
        <f>EXP(C73)</f>
        <v/>
      </c>
    </row>
    <row r="74" ht="15" customHeight="1" s="27">
      <c r="A74" s="33" t="inlineStr">
        <is>
          <t>n_cuisines</t>
        </is>
      </c>
      <c r="B74" s="33" t="inlineStr">
        <is>
          <t>(numeric – multiply by value)</t>
        </is>
      </c>
      <c r="C74" s="56" t="n">
        <v>0.217268441061624</v>
      </c>
      <c r="D74" s="48">
        <f>EXP(C74)</f>
        <v/>
      </c>
    </row>
    <row r="75" ht="15" customHeight="1" s="27">
      <c r="A75" s="33" t="inlineStr">
        <is>
          <t>online_order</t>
        </is>
      </c>
      <c r="B75" s="33" t="inlineStr">
        <is>
          <t>No</t>
        </is>
      </c>
      <c r="C75" s="56" t="n">
        <v>-0.304659641073678</v>
      </c>
      <c r="D75" s="48">
        <f>EXP(C75)</f>
        <v/>
      </c>
    </row>
    <row r="76" ht="15" customHeight="1" s="27">
      <c r="A76" s="33" t="inlineStr">
        <is>
          <t>online_order</t>
        </is>
      </c>
      <c r="B76" s="33" t="inlineStr">
        <is>
          <t>Yes</t>
        </is>
      </c>
      <c r="C76" s="56" t="n">
        <v>0.076607637566944</v>
      </c>
      <c r="D76" s="48">
        <f>EXP(C76)</f>
        <v/>
      </c>
    </row>
    <row r="77" ht="15" customHeight="1" s="27">
      <c r="A77" s="33" t="inlineStr">
        <is>
          <t>primary_type</t>
        </is>
      </c>
      <c r="B77" s="33" t="inlineStr">
        <is>
          <t>Bakery</t>
        </is>
      </c>
      <c r="C77" s="56" t="n">
        <v>-0.237593491367418</v>
      </c>
      <c r="D77" s="48">
        <f>EXP(C77)</f>
        <v/>
      </c>
    </row>
    <row r="78" ht="15" customHeight="1" s="27">
      <c r="A78" s="33" t="inlineStr">
        <is>
          <t>primary_type</t>
        </is>
      </c>
      <c r="B78" s="33" t="inlineStr">
        <is>
          <t>Bar</t>
        </is>
      </c>
      <c r="C78" s="56" t="n">
        <v>-0.132397911998249</v>
      </c>
      <c r="D78" s="48">
        <f>EXP(C78)</f>
        <v/>
      </c>
    </row>
    <row r="79" ht="15" customHeight="1" s="27">
      <c r="A79" s="33" t="inlineStr">
        <is>
          <t>primary_type</t>
        </is>
      </c>
      <c r="B79" s="33" t="inlineStr">
        <is>
          <t>Beverage Shop</t>
        </is>
      </c>
      <c r="C79" s="56" t="n">
        <v>-0.0745187559160066</v>
      </c>
      <c r="D79" s="48">
        <f>EXP(C79)</f>
        <v/>
      </c>
    </row>
    <row r="80" ht="15" customHeight="1" s="27">
      <c r="A80" s="33" t="inlineStr">
        <is>
          <t>primary_type</t>
        </is>
      </c>
      <c r="B80" s="33" t="inlineStr">
        <is>
          <t>Cafe</t>
        </is>
      </c>
      <c r="C80" s="56" t="n">
        <v>0.0271538628560111</v>
      </c>
      <c r="D80" s="48">
        <f>EXP(C80)</f>
        <v/>
      </c>
    </row>
    <row r="81" ht="15" customHeight="1" s="27">
      <c r="A81" s="33" t="inlineStr">
        <is>
          <t>primary_type</t>
        </is>
      </c>
      <c r="B81" s="33" t="inlineStr">
        <is>
          <t>Casual Dining</t>
        </is>
      </c>
      <c r="C81" s="56" t="n">
        <v>0.408657475028889</v>
      </c>
      <c r="D81" s="48">
        <f>EXP(C81)</f>
        <v/>
      </c>
    </row>
    <row r="82" ht="15" customHeight="1" s="27">
      <c r="A82" s="33" t="inlineStr">
        <is>
          <t>primary_type</t>
        </is>
      </c>
      <c r="B82" s="33" t="inlineStr">
        <is>
          <t>Delivery</t>
        </is>
      </c>
      <c r="C82" s="56" t="n">
        <v>0.038619054778452</v>
      </c>
      <c r="D82" s="48">
        <f>EXP(C82)</f>
        <v/>
      </c>
    </row>
    <row r="83" ht="15" customHeight="1" s="27">
      <c r="A83" s="33" t="inlineStr">
        <is>
          <t>primary_type</t>
        </is>
      </c>
      <c r="B83" s="33" t="inlineStr">
        <is>
          <t>Dessert Parlor</t>
        </is>
      </c>
      <c r="C83" s="56" t="n">
        <v>0.411266700480507</v>
      </c>
      <c r="D83" s="48">
        <f>EXP(C83)</f>
        <v/>
      </c>
    </row>
    <row r="84" ht="15" customHeight="1" s="27">
      <c r="A84" s="33" t="inlineStr">
        <is>
          <t>primary_type</t>
        </is>
      </c>
      <c r="B84" s="33" t="inlineStr">
        <is>
          <t>Food Court</t>
        </is>
      </c>
      <c r="C84" s="56" t="n">
        <v>-0.216525158810422</v>
      </c>
      <c r="D84" s="48">
        <f>EXP(C84)</f>
        <v/>
      </c>
    </row>
    <row r="85" ht="15" customHeight="1" s="27">
      <c r="A85" s="33" t="inlineStr">
        <is>
          <t>primary_type</t>
        </is>
      </c>
      <c r="B85" s="33" t="inlineStr">
        <is>
          <t>Other</t>
        </is>
      </c>
      <c r="C85" s="56" t="n">
        <v>-0.175283896588283</v>
      </c>
      <c r="D85" s="48">
        <f>EXP(C85)</f>
        <v/>
      </c>
    </row>
    <row r="86" ht="15" customHeight="1" s="27">
      <c r="A86" s="33" t="inlineStr">
        <is>
          <t>primary_type</t>
        </is>
      </c>
      <c r="B86" s="33" t="inlineStr">
        <is>
          <t>Quick Bites</t>
        </is>
      </c>
      <c r="C86" s="56" t="n">
        <v>-0.0264179060662392</v>
      </c>
      <c r="D86" s="48">
        <f>EXP(C86)</f>
        <v/>
      </c>
    </row>
    <row r="87" ht="15" customHeight="1" s="27">
      <c r="A87" s="33" t="inlineStr">
        <is>
          <t>primary_type</t>
        </is>
      </c>
      <c r="B87" s="33" t="inlineStr">
        <is>
          <t>Sweet Shop</t>
        </is>
      </c>
      <c r="C87" s="56" t="n">
        <v>-0.0424341922320454</v>
      </c>
      <c r="D87" s="48">
        <f>EXP(C87)</f>
        <v/>
      </c>
    </row>
    <row r="88" ht="15" customHeight="1" s="27">
      <c r="A88" s="33" t="inlineStr">
        <is>
          <t>primary_type</t>
        </is>
      </c>
      <c r="B88" s="33" t="inlineStr">
        <is>
          <t>Takeaway</t>
        </is>
      </c>
      <c r="C88" s="56" t="n">
        <v>-0.208577783672868</v>
      </c>
      <c r="D88" s="48">
        <f>EXP(C88)</f>
        <v/>
      </c>
    </row>
    <row r="90" ht="15" customHeight="1" s="27">
      <c r="A90" s="53" t="inlineStr">
        <is>
          <t>App formula: score = Intercept + Σ coefficient of the chosen level for each categorical input + coef(n_cuisines)×n_cuisines + coef(cost_for_two)×planned cost.  P(rating ≥ 4.0) = 1/(1+EXP(−score)).</t>
        </is>
      </c>
    </row>
    <row r="91" ht="15" customHeight="1" s="27">
      <c r="A91" s="53" t="inlineStr">
        <is>
          <t>Coefficients come from the FINAL model trained on 9,234 restaurants (hold-out rows excluded). Orange creates a 0/1 column for every level, so compare levels within a variable rather than reading one coefficient alone.</t>
        </is>
      </c>
    </row>
    <row r="93">
      <c r="A93" s="69" t="inlineStr">
        <is>
          <t>Note (2026-10-26): these coefficients do not reproduce the Orange GUI's predictions (they give P = 0.143, 0.175, … for T01–T02;</t>
        </is>
      </c>
    </row>
    <row r="94">
      <c r="A94" s="69" t="inlineStr">
        <is>
          <t>Orange gives 0.092, 0.061, …). The app does not use this formula; it loads rating_model.joblib, which matches Orange within 0.002.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6" min="1" max="1"/>
    <col width="26" customWidth="1" style="26" min="2" max="2"/>
    <col width="14" customWidth="1" style="26" min="3" max="20"/>
    <col width="12" customWidth="1" style="26" min="21" max="21"/>
    <col width="14" customWidth="1" style="26" min="22" max="22"/>
    <col width="18" customWidth="1" style="26" min="23" max="23"/>
    <col width="12" customWidth="1" style="26" min="24" max="24"/>
    <col width="14" customWidth="1" style="26" min="25" max="25"/>
    <col width="10" customWidth="1" style="26" min="26" max="26"/>
    <col width="12" customWidth="1" style="26" min="27" max="28"/>
    <col width="9" customWidth="1" style="26" min="29" max="29"/>
  </cols>
  <sheetData>
    <row r="1" ht="17.35" customHeight="1" s="27">
      <c r="A1" s="28" t="inlineStr">
        <is>
          <t>10 hold-out inputs and outputs of the FINAL models (trained on 9,234 restaurants, these 10 excluded)</t>
        </is>
      </c>
    </row>
    <row r="2" ht="15" customHeight="1" s="27">
      <c r="A2" s="51" t="inlineStr">
        <is>
          <t>Settings (edit):</t>
        </is>
      </c>
      <c r="C2" s="26" t="inlineStr">
        <is>
          <t>Price band ± MAE (₹)</t>
        </is>
      </c>
      <c r="D2" s="57" t="n">
        <v>136</v>
      </c>
      <c r="E2" s="26" t="inlineStr">
        <is>
          <t>Strong if P ≥</t>
        </is>
      </c>
      <c r="F2" s="57" t="n">
        <v>0.6</v>
      </c>
      <c r="G2" s="26" t="inlineStr">
        <is>
          <t>Moderate if P ≥</t>
        </is>
      </c>
      <c r="H2" s="57" t="n">
        <v>0.3</v>
      </c>
    </row>
    <row r="4" ht="39.55" customHeight="1" s="27">
      <c r="A4" s="32" t="inlineStr">
        <is>
          <t>Test ID</t>
        </is>
      </c>
      <c r="B4" s="32" t="inlineStr">
        <is>
          <t>Restaurant</t>
        </is>
      </c>
      <c r="C4" s="32" t="inlineStr">
        <is>
          <t>location</t>
        </is>
      </c>
      <c r="D4" s="32" t="inlineStr">
        <is>
          <t>primary_type</t>
        </is>
      </c>
      <c r="E4" s="32" t="inlineStr">
        <is>
          <t>has_bar</t>
        </is>
      </c>
      <c r="F4" s="32" t="inlineStr">
        <is>
          <t>online_order</t>
        </is>
      </c>
      <c r="G4" s="32" t="inlineStr">
        <is>
          <t>book_table</t>
        </is>
      </c>
      <c r="H4" s="32" t="inlineStr">
        <is>
          <t>n_cuisines</t>
        </is>
      </c>
      <c r="I4" s="32" t="inlineStr">
        <is>
          <t>c_North_Indian</t>
        </is>
      </c>
      <c r="J4" s="32" t="inlineStr">
        <is>
          <t>c_Chinese</t>
        </is>
      </c>
      <c r="K4" s="32" t="inlineStr">
        <is>
          <t>c_South_Indian</t>
        </is>
      </c>
      <c r="L4" s="32" t="inlineStr">
        <is>
          <t>c_Fast_Food</t>
        </is>
      </c>
      <c r="M4" s="32" t="inlineStr">
        <is>
          <t>c_Biryani</t>
        </is>
      </c>
      <c r="N4" s="32" t="inlineStr">
        <is>
          <t>c_Desserts</t>
        </is>
      </c>
      <c r="O4" s="32" t="inlineStr">
        <is>
          <t>c_Beverages</t>
        </is>
      </c>
      <c r="P4" s="32" t="inlineStr">
        <is>
          <t>c_Continental</t>
        </is>
      </c>
      <c r="Q4" s="32" t="inlineStr">
        <is>
          <t>c_Cafe</t>
        </is>
      </c>
      <c r="R4" s="32" t="inlineStr">
        <is>
          <t>c_Street_Food</t>
        </is>
      </c>
      <c r="S4" s="32" t="inlineStr">
        <is>
          <t>c_Italian</t>
        </is>
      </c>
      <c r="T4" s="32" t="inlineStr">
        <is>
          <t>c_Bakery</t>
        </is>
      </c>
      <c r="U4" s="32" t="inlineStr">
        <is>
          <t>Planned cost (₹)</t>
        </is>
      </c>
      <c r="V4" s="32" t="inlineStr">
        <is>
          <t>Predicted market price (₹)</t>
        </is>
      </c>
      <c r="W4" s="32" t="inlineStr">
        <is>
          <t>Price verdict</t>
        </is>
      </c>
      <c r="X4" s="32" t="inlineStr">
        <is>
          <t>P(rating ≥ 4.0)</t>
        </is>
      </c>
      <c r="Y4" s="32" t="inlineStr">
        <is>
          <t>Rating verdict</t>
        </is>
      </c>
      <c r="Z4" s="32" t="inlineStr">
        <is>
          <t>Actual rating</t>
        </is>
      </c>
      <c r="AA4" s="32" t="inlineStr">
        <is>
          <t>App price (fill)</t>
        </is>
      </c>
      <c r="AB4" s="32" t="inlineStr">
        <is>
          <t>App P (fill)</t>
        </is>
      </c>
      <c r="AC4" s="32" t="inlineStr">
        <is>
          <t>Match?</t>
        </is>
      </c>
    </row>
    <row r="5" ht="15" customHeight="1" s="27">
      <c r="A5" s="33" t="inlineStr">
        <is>
          <t>T01</t>
        </is>
      </c>
      <c r="B5" s="33" t="inlineStr">
        <is>
          <t>Hotel Sakti Saravana</t>
        </is>
      </c>
      <c r="C5" s="33" t="inlineStr">
        <is>
          <t>Electronic City</t>
        </is>
      </c>
      <c r="D5" s="33" t="inlineStr">
        <is>
          <t>Quick Bites</t>
        </is>
      </c>
      <c r="E5" s="33" t="inlineStr">
        <is>
          <t>No</t>
        </is>
      </c>
      <c r="F5" s="33" t="inlineStr">
        <is>
          <t>Yes</t>
        </is>
      </c>
      <c r="G5" s="33" t="inlineStr">
        <is>
          <t>No</t>
        </is>
      </c>
      <c r="H5" s="33" t="n">
        <v>2</v>
      </c>
      <c r="I5" s="33" t="inlineStr">
        <is>
          <t>No</t>
        </is>
      </c>
      <c r="J5" s="33" t="inlineStr">
        <is>
          <t>No</t>
        </is>
      </c>
      <c r="K5" s="33" t="inlineStr">
        <is>
          <t>Yes</t>
        </is>
      </c>
      <c r="L5" s="33" t="inlineStr">
        <is>
          <t>No</t>
        </is>
      </c>
      <c r="M5" s="33" t="inlineStr">
        <is>
          <t>No</t>
        </is>
      </c>
      <c r="N5" s="33" t="inlineStr">
        <is>
          <t>No</t>
        </is>
      </c>
      <c r="O5" s="33" t="inlineStr">
        <is>
          <t>No</t>
        </is>
      </c>
      <c r="P5" s="33" t="inlineStr">
        <is>
          <t>No</t>
        </is>
      </c>
      <c r="Q5" s="33" t="inlineStr">
        <is>
          <t>No</t>
        </is>
      </c>
      <c r="R5" s="33" t="inlineStr">
        <is>
          <t>No</t>
        </is>
      </c>
      <c r="S5" s="33" t="inlineStr">
        <is>
          <t>No</t>
        </is>
      </c>
      <c r="T5" s="33" t="inlineStr">
        <is>
          <t>No</t>
        </is>
      </c>
      <c r="U5" s="33" t="n">
        <v>350</v>
      </c>
      <c r="V5" s="37" t="n">
        <v>335.3</v>
      </c>
      <c r="W5" s="33">
        <f>IF(U5&gt;V5+$D$2,"Above market",IF(U5&lt;V5-$D$2,"Below market","In line with market"))</f>
        <v/>
      </c>
      <c r="X5" s="38" t="n">
        <v>0.091</v>
      </c>
      <c r="Y5" s="33">
        <f>IF(X5&gt;=$F$2,"Strong",IF(X5&gt;=$H$2,"Moderate","Weak"))</f>
        <v/>
      </c>
      <c r="Z5" s="33" t="n">
        <v>3.8</v>
      </c>
      <c r="AA5" s="58" t="n"/>
      <c r="AB5" s="58" t="n"/>
      <c r="AC5" s="33">
        <f>IF(OR(AA5="",AB5=""),"",IF(AND(ABS(AA5-V5)&lt;0.06,ABS(AB5-X5)&lt;0.0006),"✔","✘"))</f>
        <v/>
      </c>
    </row>
    <row r="6" ht="15" customHeight="1" s="27">
      <c r="A6" s="33" t="inlineStr">
        <is>
          <t>T02</t>
        </is>
      </c>
      <c r="B6" s="33" t="inlineStr">
        <is>
          <t>Sizzling Szechuan</t>
        </is>
      </c>
      <c r="C6" s="33" t="inlineStr">
        <is>
          <t>Banaswadi</t>
        </is>
      </c>
      <c r="D6" s="33" t="inlineStr">
        <is>
          <t>Casual Dining</t>
        </is>
      </c>
      <c r="E6" s="33" t="inlineStr">
        <is>
          <t>No</t>
        </is>
      </c>
      <c r="F6" s="33" t="inlineStr">
        <is>
          <t>Yes</t>
        </is>
      </c>
      <c r="G6" s="33" t="inlineStr">
        <is>
          <t>No</t>
        </is>
      </c>
      <c r="H6" s="33" t="n">
        <v>3</v>
      </c>
      <c r="I6" s="33" t="inlineStr">
        <is>
          <t>No</t>
        </is>
      </c>
      <c r="J6" s="33" t="inlineStr">
        <is>
          <t>Yes</t>
        </is>
      </c>
      <c r="K6" s="33" t="inlineStr">
        <is>
          <t>No</t>
        </is>
      </c>
      <c r="L6" s="33" t="inlineStr">
        <is>
          <t>No</t>
        </is>
      </c>
      <c r="M6" s="33" t="inlineStr">
        <is>
          <t>No</t>
        </is>
      </c>
      <c r="N6" s="33" t="inlineStr">
        <is>
          <t>No</t>
        </is>
      </c>
      <c r="O6" s="33" t="inlineStr">
        <is>
          <t>No</t>
        </is>
      </c>
      <c r="P6" s="33" t="inlineStr">
        <is>
          <t>No</t>
        </is>
      </c>
      <c r="Q6" s="33" t="inlineStr">
        <is>
          <t>No</t>
        </is>
      </c>
      <c r="R6" s="33" t="inlineStr">
        <is>
          <t>No</t>
        </is>
      </c>
      <c r="S6" s="33" t="inlineStr">
        <is>
          <t>No</t>
        </is>
      </c>
      <c r="T6" s="33" t="inlineStr">
        <is>
          <t>No</t>
        </is>
      </c>
      <c r="U6" s="33" t="n">
        <v>600</v>
      </c>
      <c r="V6" s="37" t="n">
        <v>722.5</v>
      </c>
      <c r="W6" s="33">
        <f>IF(U6&gt;V6+$D$2,"Above market",IF(U6&lt;V6-$D$2,"Below market","In line with market"))</f>
        <v/>
      </c>
      <c r="X6" s="38" t="n">
        <v>0.06</v>
      </c>
      <c r="Y6" s="33">
        <f>IF(X6&gt;=$F$2,"Strong",IF(X6&gt;=$H$2,"Moderate","Weak"))</f>
        <v/>
      </c>
      <c r="Z6" s="33" t="n">
        <v>3.9</v>
      </c>
      <c r="AA6" s="58" t="n"/>
      <c r="AB6" s="58" t="n"/>
      <c r="AC6" s="33">
        <f>IF(OR(AA6="",AB6=""),"",IF(AND(ABS(AA6-V6)&lt;0.06,ABS(AB6-X6)&lt;0.0006),"✔","✘"))</f>
        <v/>
      </c>
    </row>
    <row r="7" ht="26.85" customHeight="1" s="27">
      <c r="A7" s="33" t="inlineStr">
        <is>
          <t>T03</t>
        </is>
      </c>
      <c r="B7" s="33" t="inlineStr">
        <is>
          <t>Roundup Cafe</t>
        </is>
      </c>
      <c r="C7" s="33" t="inlineStr">
        <is>
          <t>Koramangala 5th Block</t>
        </is>
      </c>
      <c r="D7" s="33" t="inlineStr">
        <is>
          <t>Cafe</t>
        </is>
      </c>
      <c r="E7" s="33" t="inlineStr">
        <is>
          <t>No</t>
        </is>
      </c>
      <c r="F7" s="33" t="inlineStr">
        <is>
          <t>Yes</t>
        </is>
      </c>
      <c r="G7" s="33" t="inlineStr">
        <is>
          <t>Yes</t>
        </is>
      </c>
      <c r="H7" s="33" t="n">
        <v>3</v>
      </c>
      <c r="I7" s="33" t="inlineStr">
        <is>
          <t>No</t>
        </is>
      </c>
      <c r="J7" s="33" t="inlineStr">
        <is>
          <t>No</t>
        </is>
      </c>
      <c r="K7" s="33" t="inlineStr">
        <is>
          <t>No</t>
        </is>
      </c>
      <c r="L7" s="33" t="inlineStr">
        <is>
          <t>No</t>
        </is>
      </c>
      <c r="M7" s="33" t="inlineStr">
        <is>
          <t>No</t>
        </is>
      </c>
      <c r="N7" s="33" t="inlineStr">
        <is>
          <t>No</t>
        </is>
      </c>
      <c r="O7" s="33" t="inlineStr">
        <is>
          <t>Yes</t>
        </is>
      </c>
      <c r="P7" s="33" t="inlineStr">
        <is>
          <t>Yes</t>
        </is>
      </c>
      <c r="Q7" s="33" t="inlineStr">
        <is>
          <t>Yes</t>
        </is>
      </c>
      <c r="R7" s="33" t="inlineStr">
        <is>
          <t>No</t>
        </is>
      </c>
      <c r="S7" s="33" t="inlineStr">
        <is>
          <t>No</t>
        </is>
      </c>
      <c r="T7" s="33" t="inlineStr">
        <is>
          <t>No</t>
        </is>
      </c>
      <c r="U7" s="33" t="n">
        <v>800</v>
      </c>
      <c r="V7" s="37" t="n">
        <v>718.2</v>
      </c>
      <c r="W7" s="33">
        <f>IF(U7&gt;V7+$D$2,"Above market",IF(U7&lt;V7-$D$2,"Below market","In line with market"))</f>
        <v/>
      </c>
      <c r="X7" s="38" t="n">
        <v>0.917</v>
      </c>
      <c r="Y7" s="33">
        <f>IF(X7&gt;=$F$2,"Strong",IF(X7&gt;=$H$2,"Moderate","Weak"))</f>
        <v/>
      </c>
      <c r="Z7" s="33" t="n">
        <v>4.2</v>
      </c>
      <c r="AA7" s="58" t="n"/>
      <c r="AB7" s="58" t="n"/>
      <c r="AC7" s="33">
        <f>IF(OR(AA7="",AB7=""),"",IF(AND(ABS(AA7-V7)&lt;0.06,ABS(AB7-X7)&lt;0.0006),"✔","✘"))</f>
        <v/>
      </c>
    </row>
    <row r="8" ht="15" customHeight="1" s="27">
      <c r="A8" s="33" t="inlineStr">
        <is>
          <t>T04</t>
        </is>
      </c>
      <c r="B8" s="33" t="inlineStr">
        <is>
          <t>ReadyBowl</t>
        </is>
      </c>
      <c r="C8" s="33" t="inlineStr">
        <is>
          <t>BTM</t>
        </is>
      </c>
      <c r="D8" s="33" t="inlineStr">
        <is>
          <t>Delivery</t>
        </is>
      </c>
      <c r="E8" s="33" t="inlineStr">
        <is>
          <t>No</t>
        </is>
      </c>
      <c r="F8" s="33" t="inlineStr">
        <is>
          <t>Yes</t>
        </is>
      </c>
      <c r="G8" s="33" t="inlineStr">
        <is>
          <t>No</t>
        </is>
      </c>
      <c r="H8" s="33" t="n">
        <v>4</v>
      </c>
      <c r="I8" s="33" t="inlineStr">
        <is>
          <t>Yes</t>
        </is>
      </c>
      <c r="J8" s="33" t="inlineStr">
        <is>
          <t>No</t>
        </is>
      </c>
      <c r="K8" s="33" t="inlineStr">
        <is>
          <t>Yes</t>
        </is>
      </c>
      <c r="L8" s="33" t="inlineStr">
        <is>
          <t>No</t>
        </is>
      </c>
      <c r="M8" s="33" t="inlineStr">
        <is>
          <t>Yes</t>
        </is>
      </c>
      <c r="N8" s="33" t="inlineStr">
        <is>
          <t>No</t>
        </is>
      </c>
      <c r="O8" s="33" t="inlineStr">
        <is>
          <t>No</t>
        </is>
      </c>
      <c r="P8" s="33" t="inlineStr">
        <is>
          <t>No</t>
        </is>
      </c>
      <c r="Q8" s="33" t="inlineStr">
        <is>
          <t>No</t>
        </is>
      </c>
      <c r="R8" s="33" t="inlineStr">
        <is>
          <t>No</t>
        </is>
      </c>
      <c r="S8" s="33" t="inlineStr">
        <is>
          <t>No</t>
        </is>
      </c>
      <c r="T8" s="33" t="inlineStr">
        <is>
          <t>No</t>
        </is>
      </c>
      <c r="U8" s="33" t="n">
        <v>400</v>
      </c>
      <c r="V8" s="37" t="n">
        <v>408.8</v>
      </c>
      <c r="W8" s="33">
        <f>IF(U8&gt;V8+$D$2,"Above market",IF(U8&lt;V8-$D$2,"Below market","In line with market"))</f>
        <v/>
      </c>
      <c r="X8" s="38" t="n">
        <v>0.142</v>
      </c>
      <c r="Y8" s="33">
        <f>IF(X8&gt;=$F$2,"Strong",IF(X8&gt;=$H$2,"Moderate","Weak"))</f>
        <v/>
      </c>
      <c r="Z8" s="33" t="n">
        <v>3.7</v>
      </c>
      <c r="AA8" s="58" t="n"/>
      <c r="AB8" s="58" t="n"/>
      <c r="AC8" s="33">
        <f>IF(OR(AA8="",AB8=""),"",IF(AND(ABS(AA8-V8)&lt;0.06,ABS(AB8-X8)&lt;0.0006),"✔","✘"))</f>
        <v/>
      </c>
    </row>
    <row r="9" ht="15" customHeight="1" s="27">
      <c r="A9" s="33" t="inlineStr">
        <is>
          <t>T05</t>
        </is>
      </c>
      <c r="B9" s="33" t="inlineStr">
        <is>
          <t>Papacream</t>
        </is>
      </c>
      <c r="C9" s="33" t="inlineStr">
        <is>
          <t>Sarjapur Road</t>
        </is>
      </c>
      <c r="D9" s="33" t="inlineStr">
        <is>
          <t>Dessert Parlor</t>
        </is>
      </c>
      <c r="E9" s="33" t="inlineStr">
        <is>
          <t>No</t>
        </is>
      </c>
      <c r="F9" s="33" t="inlineStr">
        <is>
          <t>No</t>
        </is>
      </c>
      <c r="G9" s="33" t="inlineStr">
        <is>
          <t>No</t>
        </is>
      </c>
      <c r="H9" s="33" t="n">
        <v>2</v>
      </c>
      <c r="I9" s="33" t="inlineStr">
        <is>
          <t>No</t>
        </is>
      </c>
      <c r="J9" s="33" t="inlineStr">
        <is>
          <t>No</t>
        </is>
      </c>
      <c r="K9" s="33" t="inlineStr">
        <is>
          <t>No</t>
        </is>
      </c>
      <c r="L9" s="33" t="inlineStr">
        <is>
          <t>No</t>
        </is>
      </c>
      <c r="M9" s="33" t="inlineStr">
        <is>
          <t>No</t>
        </is>
      </c>
      <c r="N9" s="33" t="inlineStr">
        <is>
          <t>Yes</t>
        </is>
      </c>
      <c r="O9" s="33" t="inlineStr">
        <is>
          <t>No</t>
        </is>
      </c>
      <c r="P9" s="33" t="inlineStr">
        <is>
          <t>No</t>
        </is>
      </c>
      <c r="Q9" s="33" t="inlineStr">
        <is>
          <t>No</t>
        </is>
      </c>
      <c r="R9" s="33" t="inlineStr">
        <is>
          <t>No</t>
        </is>
      </c>
      <c r="S9" s="33" t="inlineStr">
        <is>
          <t>No</t>
        </is>
      </c>
      <c r="T9" s="33" t="inlineStr">
        <is>
          <t>No</t>
        </is>
      </c>
      <c r="U9" s="33" t="n">
        <v>350</v>
      </c>
      <c r="V9" s="37" t="n">
        <v>256.9</v>
      </c>
      <c r="W9" s="33">
        <f>IF(U9&gt;V9+$D$2,"Above market",IF(U9&lt;V9-$D$2,"Below market","In line with market"))</f>
        <v/>
      </c>
      <c r="X9" s="38" t="n">
        <v>0.224</v>
      </c>
      <c r="Y9" s="33">
        <f>IF(X9&gt;=$F$2,"Strong",IF(X9&gt;=$H$2,"Moderate","Weak"))</f>
        <v/>
      </c>
      <c r="Z9" s="33" t="n">
        <v>3.8</v>
      </c>
      <c r="AA9" s="58" t="n"/>
      <c r="AB9" s="58" t="n"/>
      <c r="AC9" s="33">
        <f>IF(OR(AA9="",AB9=""),"",IF(AND(ABS(AA9-V9)&lt;0.06,ABS(AB9-X9)&lt;0.0006),"✔","✘"))</f>
        <v/>
      </c>
    </row>
    <row r="10" ht="26.85" customHeight="1" s="27">
      <c r="A10" s="33" t="inlineStr">
        <is>
          <t>T06</t>
        </is>
      </c>
      <c r="B10" s="33" t="inlineStr">
        <is>
          <t>Jeff's - Royal Orchid Hotel</t>
        </is>
      </c>
      <c r="C10" s="33" t="inlineStr">
        <is>
          <t>Old Airport Road</t>
        </is>
      </c>
      <c r="D10" s="33" t="inlineStr">
        <is>
          <t>Bar</t>
        </is>
      </c>
      <c r="E10" s="33" t="inlineStr">
        <is>
          <t>Yes</t>
        </is>
      </c>
      <c r="F10" s="33" t="inlineStr">
        <is>
          <t>No</t>
        </is>
      </c>
      <c r="G10" s="33" t="inlineStr">
        <is>
          <t>No</t>
        </is>
      </c>
      <c r="H10" s="33" t="n">
        <v>2</v>
      </c>
      <c r="I10" s="33" t="inlineStr">
        <is>
          <t>No</t>
        </is>
      </c>
      <c r="J10" s="33" t="inlineStr">
        <is>
          <t>Yes</t>
        </is>
      </c>
      <c r="K10" s="33" t="inlineStr">
        <is>
          <t>No</t>
        </is>
      </c>
      <c r="L10" s="33" t="inlineStr">
        <is>
          <t>No</t>
        </is>
      </c>
      <c r="M10" s="33" t="inlineStr">
        <is>
          <t>No</t>
        </is>
      </c>
      <c r="N10" s="33" t="inlineStr">
        <is>
          <t>No</t>
        </is>
      </c>
      <c r="O10" s="33" t="inlineStr">
        <is>
          <t>No</t>
        </is>
      </c>
      <c r="P10" s="33" t="inlineStr">
        <is>
          <t>Yes</t>
        </is>
      </c>
      <c r="Q10" s="33" t="inlineStr">
        <is>
          <t>No</t>
        </is>
      </c>
      <c r="R10" s="33" t="inlineStr">
        <is>
          <t>No</t>
        </is>
      </c>
      <c r="S10" s="33" t="inlineStr">
        <is>
          <t>No</t>
        </is>
      </c>
      <c r="T10" s="33" t="inlineStr">
        <is>
          <t>No</t>
        </is>
      </c>
      <c r="U10" s="33" t="n">
        <v>1800</v>
      </c>
      <c r="V10" s="37" t="n">
        <v>1331</v>
      </c>
      <c r="W10" s="33">
        <f>IF(U10&gt;V10+$D$2,"Above market",IF(U10&lt;V10-$D$2,"Below market","In line with market"))</f>
        <v/>
      </c>
      <c r="X10" s="38" t="n">
        <v>0.231</v>
      </c>
      <c r="Y10" s="33">
        <f>IF(X10&gt;=$F$2,"Strong",IF(X10&gt;=$H$2,"Moderate","Weak"))</f>
        <v/>
      </c>
      <c r="Z10" s="33" t="n">
        <v>3.9</v>
      </c>
      <c r="AA10" s="58" t="n"/>
      <c r="AB10" s="58" t="n"/>
      <c r="AC10" s="33">
        <f>IF(OR(AA10="",AB10=""),"",IF(AND(ABS(AA10-V10)&lt;0.06,ABS(AB10-X10)&lt;0.0006),"✔","✘"))</f>
        <v/>
      </c>
    </row>
    <row r="11" ht="26.85" customHeight="1" s="27">
      <c r="A11" s="33" t="inlineStr">
        <is>
          <t>T07</t>
        </is>
      </c>
      <c r="B11" s="33" t="inlineStr">
        <is>
          <t>Just Bake</t>
        </is>
      </c>
      <c r="C11" s="33" t="inlineStr">
        <is>
          <t>Bannerghatta Road</t>
        </is>
      </c>
      <c r="D11" s="33" t="inlineStr">
        <is>
          <t>Bakery</t>
        </is>
      </c>
      <c r="E11" s="33" t="inlineStr">
        <is>
          <t>No</t>
        </is>
      </c>
      <c r="F11" s="33" t="inlineStr">
        <is>
          <t>Yes</t>
        </is>
      </c>
      <c r="G11" s="33" t="inlineStr">
        <is>
          <t>No</t>
        </is>
      </c>
      <c r="H11" s="33" t="n">
        <v>2</v>
      </c>
      <c r="I11" s="33" t="inlineStr">
        <is>
          <t>No</t>
        </is>
      </c>
      <c r="J11" s="33" t="inlineStr">
        <is>
          <t>No</t>
        </is>
      </c>
      <c r="K11" s="33" t="inlineStr">
        <is>
          <t>No</t>
        </is>
      </c>
      <c r="L11" s="33" t="inlineStr">
        <is>
          <t>No</t>
        </is>
      </c>
      <c r="M11" s="33" t="inlineStr">
        <is>
          <t>No</t>
        </is>
      </c>
      <c r="N11" s="33" t="inlineStr">
        <is>
          <t>Yes</t>
        </is>
      </c>
      <c r="O11" s="33" t="inlineStr">
        <is>
          <t>No</t>
        </is>
      </c>
      <c r="P11" s="33" t="inlineStr">
        <is>
          <t>No</t>
        </is>
      </c>
      <c r="Q11" s="33" t="inlineStr">
        <is>
          <t>No</t>
        </is>
      </c>
      <c r="R11" s="33" t="inlineStr">
        <is>
          <t>No</t>
        </is>
      </c>
      <c r="S11" s="33" t="inlineStr">
        <is>
          <t>No</t>
        </is>
      </c>
      <c r="T11" s="33" t="inlineStr">
        <is>
          <t>Yes</t>
        </is>
      </c>
      <c r="U11" s="33" t="n">
        <v>400</v>
      </c>
      <c r="V11" s="37" t="n">
        <v>423.2</v>
      </c>
      <c r="W11" s="33">
        <f>IF(U11&gt;V11+$D$2,"Above market",IF(U11&lt;V11-$D$2,"Below market","In line with market"))</f>
        <v/>
      </c>
      <c r="X11" s="38" t="n">
        <v>0.139</v>
      </c>
      <c r="Y11" s="33">
        <f>IF(X11&gt;=$F$2,"Strong",IF(X11&gt;=$H$2,"Moderate","Weak"))</f>
        <v/>
      </c>
      <c r="Z11" s="33" t="n">
        <v>3.2</v>
      </c>
      <c r="AA11" s="58" t="n"/>
      <c r="AB11" s="58" t="n"/>
      <c r="AC11" s="33">
        <f>IF(OR(AA11="",AB11=""),"",IF(AND(ABS(AA11-V11)&lt;0.06,ABS(AB11-X11)&lt;0.0006),"✔","✘"))</f>
        <v/>
      </c>
    </row>
    <row r="12" ht="15" customHeight="1" s="27">
      <c r="A12" s="33" t="inlineStr">
        <is>
          <t>T08</t>
        </is>
      </c>
      <c r="B12" s="33" t="inlineStr">
        <is>
          <t>Mojo Pizza - 2X Toppings</t>
        </is>
      </c>
      <c r="C12" s="33" t="inlineStr">
        <is>
          <t>JP Nagar</t>
        </is>
      </c>
      <c r="D12" s="33" t="inlineStr">
        <is>
          <t>Takeaway</t>
        </is>
      </c>
      <c r="E12" s="33" t="inlineStr">
        <is>
          <t>No</t>
        </is>
      </c>
      <c r="F12" s="33" t="inlineStr">
        <is>
          <t>Yes</t>
        </is>
      </c>
      <c r="G12" s="33" t="inlineStr">
        <is>
          <t>No</t>
        </is>
      </c>
      <c r="H12" s="33" t="n">
        <v>1</v>
      </c>
      <c r="I12" s="33" t="inlineStr">
        <is>
          <t>No</t>
        </is>
      </c>
      <c r="J12" s="33" t="inlineStr">
        <is>
          <t>No</t>
        </is>
      </c>
      <c r="K12" s="33" t="inlineStr">
        <is>
          <t>No</t>
        </is>
      </c>
      <c r="L12" s="33" t="inlineStr">
        <is>
          <t>No</t>
        </is>
      </c>
      <c r="M12" s="33" t="inlineStr">
        <is>
          <t>No</t>
        </is>
      </c>
      <c r="N12" s="33" t="inlineStr">
        <is>
          <t>No</t>
        </is>
      </c>
      <c r="O12" s="33" t="inlineStr">
        <is>
          <t>No</t>
        </is>
      </c>
      <c r="P12" s="33" t="inlineStr">
        <is>
          <t>No</t>
        </is>
      </c>
      <c r="Q12" s="33" t="inlineStr">
        <is>
          <t>No</t>
        </is>
      </c>
      <c r="R12" s="33" t="inlineStr">
        <is>
          <t>No</t>
        </is>
      </c>
      <c r="S12" s="33" t="inlineStr">
        <is>
          <t>No</t>
        </is>
      </c>
      <c r="T12" s="33" t="inlineStr">
        <is>
          <t>No</t>
        </is>
      </c>
      <c r="U12" s="33" t="n">
        <v>600</v>
      </c>
      <c r="V12" s="37" t="n">
        <v>329.8</v>
      </c>
      <c r="W12" s="33">
        <f>IF(U12&gt;V12+$D$2,"Above market",IF(U12&lt;V12-$D$2,"Below market","In line with market"))</f>
        <v/>
      </c>
      <c r="X12" s="38" t="n">
        <v>0.211</v>
      </c>
      <c r="Y12" s="33">
        <f>IF(X12&gt;=$F$2,"Strong",IF(X12&gt;=$H$2,"Moderate","Weak"))</f>
        <v/>
      </c>
      <c r="Z12" s="33" t="n">
        <v>4.2</v>
      </c>
      <c r="AA12" s="58" t="n"/>
      <c r="AB12" s="58" t="n"/>
      <c r="AC12" s="33">
        <f>IF(OR(AA12="",AB12=""),"",IF(AND(ABS(AA12-V12)&lt;0.06,ABS(AB12-X12)&lt;0.0006),"✔","✘"))</f>
        <v/>
      </c>
    </row>
    <row r="13" ht="26.85" customHeight="1" s="27">
      <c r="A13" s="33" t="inlineStr">
        <is>
          <t>T09</t>
        </is>
      </c>
      <c r="B13" s="33" t="inlineStr">
        <is>
          <t>Drava</t>
        </is>
      </c>
      <c r="C13" s="33" t="inlineStr">
        <is>
          <t>Koramangala 5th Block</t>
        </is>
      </c>
      <c r="D13" s="33" t="inlineStr">
        <is>
          <t>Other</t>
        </is>
      </c>
      <c r="E13" s="33" t="inlineStr">
        <is>
          <t>Yes</t>
        </is>
      </c>
      <c r="F13" s="33" t="inlineStr">
        <is>
          <t>No</t>
        </is>
      </c>
      <c r="G13" s="33" t="inlineStr">
        <is>
          <t>Yes</t>
        </is>
      </c>
      <c r="H13" s="33" t="n">
        <v>4</v>
      </c>
      <c r="I13" s="33" t="inlineStr">
        <is>
          <t>Yes</t>
        </is>
      </c>
      <c r="J13" s="33" t="inlineStr">
        <is>
          <t>No</t>
        </is>
      </c>
      <c r="K13" s="33" t="inlineStr">
        <is>
          <t>No</t>
        </is>
      </c>
      <c r="L13" s="33" t="inlineStr">
        <is>
          <t>No</t>
        </is>
      </c>
      <c r="M13" s="33" t="inlineStr">
        <is>
          <t>No</t>
        </is>
      </c>
      <c r="N13" s="33" t="inlineStr">
        <is>
          <t>No</t>
        </is>
      </c>
      <c r="O13" s="33" t="inlineStr">
        <is>
          <t>No</t>
        </is>
      </c>
      <c r="P13" s="33" t="inlineStr">
        <is>
          <t>Yes</t>
        </is>
      </c>
      <c r="Q13" s="33" t="inlineStr">
        <is>
          <t>No</t>
        </is>
      </c>
      <c r="R13" s="33" t="inlineStr">
        <is>
          <t>No</t>
        </is>
      </c>
      <c r="S13" s="33" t="inlineStr">
        <is>
          <t>No</t>
        </is>
      </c>
      <c r="T13" s="33" t="inlineStr">
        <is>
          <t>No</t>
        </is>
      </c>
      <c r="U13" s="33" t="n">
        <v>1500</v>
      </c>
      <c r="V13" s="37" t="n">
        <v>1197.5</v>
      </c>
      <c r="W13" s="33">
        <f>IF(U13&gt;V13+$D$2,"Above market",IF(U13&lt;V13-$D$2,"Below market","In line with market"))</f>
        <v/>
      </c>
      <c r="X13" s="38" t="n">
        <v>0.912</v>
      </c>
      <c r="Y13" s="33">
        <f>IF(X13&gt;=$F$2,"Strong",IF(X13&gt;=$H$2,"Moderate","Weak"))</f>
        <v/>
      </c>
      <c r="Z13" s="33" t="n">
        <v>4.4</v>
      </c>
      <c r="AA13" s="58" t="n"/>
      <c r="AB13" s="58" t="n"/>
      <c r="AC13" s="33">
        <f>IF(OR(AA13="",AB13=""),"",IF(AND(ABS(AA13-V13)&lt;0.06,ABS(AB13-X13)&lt;0.0006),"✔","✘"))</f>
        <v/>
      </c>
    </row>
    <row r="14" ht="15" customHeight="1" s="27">
      <c r="A14" s="33" t="inlineStr">
        <is>
          <t>T10</t>
        </is>
      </c>
      <c r="B14" s="33" t="inlineStr">
        <is>
          <t>Samarkand</t>
        </is>
      </c>
      <c r="C14" s="33" t="inlineStr">
        <is>
          <t>Other</t>
        </is>
      </c>
      <c r="D14" s="33" t="inlineStr">
        <is>
          <t>Casual Dining</t>
        </is>
      </c>
      <c r="E14" s="33" t="inlineStr">
        <is>
          <t>No</t>
        </is>
      </c>
      <c r="F14" s="33" t="inlineStr">
        <is>
          <t>No</t>
        </is>
      </c>
      <c r="G14" s="33" t="inlineStr">
        <is>
          <t>Yes</t>
        </is>
      </c>
      <c r="H14" s="33" t="n">
        <v>2</v>
      </c>
      <c r="I14" s="33" t="inlineStr">
        <is>
          <t>Yes</t>
        </is>
      </c>
      <c r="J14" s="33" t="inlineStr">
        <is>
          <t>No</t>
        </is>
      </c>
      <c r="K14" s="33" t="inlineStr">
        <is>
          <t>No</t>
        </is>
      </c>
      <c r="L14" s="33" t="inlineStr">
        <is>
          <t>No</t>
        </is>
      </c>
      <c r="M14" s="33" t="inlineStr">
        <is>
          <t>No</t>
        </is>
      </c>
      <c r="N14" s="33" t="inlineStr">
        <is>
          <t>No</t>
        </is>
      </c>
      <c r="O14" s="33" t="inlineStr">
        <is>
          <t>No</t>
        </is>
      </c>
      <c r="P14" s="33" t="inlineStr">
        <is>
          <t>No</t>
        </is>
      </c>
      <c r="Q14" s="33" t="inlineStr">
        <is>
          <t>No</t>
        </is>
      </c>
      <c r="R14" s="33" t="inlineStr">
        <is>
          <t>No</t>
        </is>
      </c>
      <c r="S14" s="33" t="inlineStr">
        <is>
          <t>No</t>
        </is>
      </c>
      <c r="T14" s="33" t="inlineStr">
        <is>
          <t>No</t>
        </is>
      </c>
      <c r="U14" s="33" t="n">
        <v>1600</v>
      </c>
      <c r="V14" s="37" t="n">
        <v>1470.4</v>
      </c>
      <c r="W14" s="33">
        <f>IF(U14&gt;V14+$D$2,"Above market",IF(U14&lt;V14-$D$2,"Below market","In line with market"))</f>
        <v/>
      </c>
      <c r="X14" s="38" t="n">
        <v>0.784</v>
      </c>
      <c r="Y14" s="33">
        <f>IF(X14&gt;=$F$2,"Strong",IF(X14&gt;=$H$2,"Moderate","Weak"))</f>
        <v/>
      </c>
      <c r="Z14" s="33" t="n">
        <v>4.1</v>
      </c>
      <c r="AA14" s="58" t="n"/>
      <c r="AB14" s="58" t="n"/>
      <c r="AC14" s="33">
        <f>IF(OR(AA14="",AB14=""),"",IF(AND(ABS(AA14-V14)&lt;0.06,ABS(AB14-X14)&lt;0.0006),"✔","✘"))</f>
        <v/>
      </c>
    </row>
    <row r="16" ht="15" customHeight="1" s="27">
      <c r="A16" s="53" t="inlineStr">
        <is>
          <t>These are the same 10 restaurants as the hold-out test. The app must reproduce these outputs. Enter app outputs in the yellow columns; Match shows ✔ when price is within ₹0.06 and probability within 0.0006.</t>
        </is>
      </c>
    </row>
    <row r="17">
      <c r="A17" s="69" t="inlineStr">
        <is>
          <t>Predicted market price = Random Forest (price_model.joblib). Price band ± MAE = RF 10-fold CV MAE (₹136). P(rating ≥ 4.0) = Logistic Regression (rating_model.joblib).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6" min="1" max="1"/>
    <col width="140" customWidth="1" style="26" min="2" max="2"/>
  </cols>
  <sheetData>
    <row r="1" ht="17.35" customHeight="1" s="27">
      <c r="A1" s="28" t="inlineStr">
        <is>
          <t>How to open and check the Orange workflow</t>
        </is>
      </c>
    </row>
    <row r="3" ht="15" customHeight="1" s="27">
      <c r="A3" s="32" t="inlineStr">
        <is>
          <t>#</t>
        </is>
      </c>
      <c r="B3" s="32" t="inlineStr">
        <is>
          <t>Step</t>
        </is>
      </c>
    </row>
    <row r="4" ht="15" customHeight="1" s="27">
      <c r="A4" s="33" t="n">
        <v>1</v>
      </c>
      <c r="B4" s="33" t="inlineStr">
        <is>
          <t>Keep all files in the 'Session 19 - SpotCheck' folder and open SpotCheck_workflow.ows in Orange.</t>
        </is>
      </c>
    </row>
    <row r="5" ht="26.85" customHeight="1" s="27">
      <c r="A5" s="33" t="n">
        <v>2</v>
      </c>
      <c r="B5" s="33" t="inlineStr">
        <is>
          <t>If any File widget shows 'file not found', double-click it and select the file named in its title (FULL = zomato_*.tab, TRAIN = zomato_*_train.tab, HOLD-OUT = reference_tests_*.tab).</t>
        </is>
      </c>
    </row>
    <row r="6" ht="15" customHeight="1" s="27">
      <c r="A6" s="33" t="n">
        <v>3</v>
      </c>
      <c r="B6" s="33" t="inlineStr">
        <is>
          <t>Each branch (PRICE, RATING) has 3 File widgets: FULL data → cross-validation; TRAIN (9,234) → trains the final model; HOLD-OUT (10) → testing.</t>
        </is>
      </c>
    </row>
    <row r="7" ht="15" customHeight="1" s="27">
      <c r="A7" s="33" t="n">
        <v>4</v>
      </c>
      <c r="B7" s="33" t="inlineStr">
        <is>
          <t>Test &amp; Score (10-fold CV): model comparison on all data. In the RATING one, set Target class = Yes.</t>
        </is>
      </c>
    </row>
    <row r="8" ht="26.85" customHeight="1" s="27">
      <c r="A8" s="33" t="n">
        <v>5</v>
      </c>
      <c r="B8" s="33" t="inlineStr">
        <is>
          <t>Test &amp; Score (HOLD-OUT test): 'Test on test data' is selected. Models are trained on TRAIN (Data input) and scored on HOLD-OUT (Test Data input). Set Target class = Yes for rating.</t>
        </is>
      </c>
    </row>
    <row r="9" ht="15" customHeight="1" s="27">
      <c r="A9" s="33" t="n">
        <v>6</v>
      </c>
      <c r="B9" s="33" t="inlineStr">
        <is>
          <t>Confusion Matrix (HOLD-OUT): shows the 10 rating predictions as TP, FP, TN and FN.</t>
        </is>
      </c>
    </row>
    <row r="10" ht="15" customHeight="1" s="27">
      <c r="A10" s="33" t="n">
        <v>7</v>
      </c>
      <c r="B10" s="33" t="inlineStr">
        <is>
          <t>Coefficient Data Tables: the final-model coefficients the app needs (same as the coefficient sheets here).</t>
        </is>
      </c>
    </row>
    <row r="11" ht="15" customHeight="1" s="27">
      <c r="A11" s="33" t="n">
        <v>8</v>
      </c>
      <c r="B11" s="33" t="inlineStr">
        <is>
          <t>Predictions – PRICE/RATING hold-out: should match 'Reference Tests' exactly (set 'Show probabilities for' = Yes for rating).</t>
        </is>
      </c>
    </row>
    <row r="12" ht="15" customHeight="1" s="27">
      <c r="A12" s="33" t="n">
        <v>9</v>
      </c>
      <c r="B12" s="33" t="inlineStr">
        <is>
          <t>Save (Ctrl+S) and screenshot both Test &amp; Score tables for the project log.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27" min="1" max="1"/>
    <col width="18" customWidth="1" style="27" min="2" max="2"/>
    <col width="16" customWidth="1" style="27" min="3" max="3"/>
    <col width="16" customWidth="1" style="27" min="4" max="4"/>
    <col width="26" customWidth="1" style="27" min="5" max="5"/>
  </cols>
  <sheetData>
    <row r="1">
      <c r="A1" s="59" t="inlineStr">
        <is>
          <t>Random Forest (price) – permutation importance on held-out folds</t>
        </is>
      </c>
    </row>
    <row r="2">
      <c r="A2" t="inlineStr">
        <is>
          <t>Increase in MAE (₹) when one input field is shuffled, measured only on the held-out fold of each of the 10 KFold splits (never on training data). 5 shuffles per fold; mean and SD across folds.</t>
        </is>
      </c>
    </row>
    <row r="4">
      <c r="A4" s="36" t="inlineStr">
        <is>
          <t>Input field</t>
        </is>
      </c>
      <c r="B4" s="36" t="inlineStr">
        <is>
          <t>Column</t>
        </is>
      </c>
      <c r="C4" s="36" t="inlineStr">
        <is>
          <t>MAE increase (₹)</t>
        </is>
      </c>
      <c r="D4" s="36" t="inlineStr">
        <is>
          <t>SD across folds (₹)</t>
        </is>
      </c>
      <c r="E4" s="36" t="inlineStr">
        <is>
          <t>Verdict</t>
        </is>
      </c>
    </row>
    <row r="5">
      <c r="A5" s="39" t="inlineStr">
        <is>
          <t>Restaurant type</t>
        </is>
      </c>
      <c r="B5" s="39" t="inlineStr">
        <is>
          <t>primary_type</t>
        </is>
      </c>
      <c r="C5" s="40" t="n">
        <v>93.7263753566704</v>
      </c>
      <c r="D5" s="40" t="n">
        <v>6.975259461429074</v>
      </c>
      <c r="E5" s="39" t="inlineStr">
        <is>
          <t>Major driver</t>
        </is>
      </c>
    </row>
    <row r="6">
      <c r="A6" s="39" t="inlineStr">
        <is>
          <t>Serves alcohol</t>
        </is>
      </c>
      <c r="B6" s="39" t="inlineStr">
        <is>
          <t>has_bar</t>
        </is>
      </c>
      <c r="C6" s="40" t="n">
        <v>49.93611232776982</v>
      </c>
      <c r="D6" s="40" t="n">
        <v>10.10165014429531</v>
      </c>
      <c r="E6" s="39" t="inlineStr">
        <is>
          <t>Major driver</t>
        </is>
      </c>
    </row>
    <row r="7">
      <c r="A7" s="39" t="inlineStr">
        <is>
          <t>Table booking</t>
        </is>
      </c>
      <c r="B7" s="39" t="inlineStr">
        <is>
          <t>book_table</t>
        </is>
      </c>
      <c r="C7" s="40" t="n">
        <v>37.02833639337839</v>
      </c>
      <c r="D7" s="40" t="n">
        <v>8.512566521917092</v>
      </c>
      <c r="E7" s="39" t="inlineStr">
        <is>
          <t>Major driver</t>
        </is>
      </c>
    </row>
    <row r="8">
      <c r="A8" s="39" t="inlineStr">
        <is>
          <t>Number of cuisines</t>
        </is>
      </c>
      <c r="B8" s="39" t="inlineStr">
        <is>
          <t>n_cuisines</t>
        </is>
      </c>
      <c r="C8" s="40" t="n">
        <v>11.22783647074397</v>
      </c>
      <c r="D8" s="40" t="n">
        <v>1.381066157306289</v>
      </c>
      <c r="E8" s="39" t="inlineStr">
        <is>
          <t>Moderate</t>
        </is>
      </c>
    </row>
    <row r="9">
      <c r="A9" s="39" t="inlineStr">
        <is>
          <t>Cafe cuisine</t>
        </is>
      </c>
      <c r="B9" s="39" t="inlineStr">
        <is>
          <t>c_Cafe</t>
        </is>
      </c>
      <c r="C9" s="40" t="n">
        <v>9.702938710346222</v>
      </c>
      <c r="D9" s="40" t="n">
        <v>2.517390139291016</v>
      </c>
      <c r="E9" s="39" t="inlineStr">
        <is>
          <t>Moderate</t>
        </is>
      </c>
    </row>
    <row r="10">
      <c r="A10" s="39" t="inlineStr">
        <is>
          <t>Continental cuisine</t>
        </is>
      </c>
      <c r="B10" s="39" t="inlineStr">
        <is>
          <t>c_Continental</t>
        </is>
      </c>
      <c r="C10" s="40" t="n">
        <v>5.921357121876961</v>
      </c>
      <c r="D10" s="40" t="n">
        <v>2.239817782929763</v>
      </c>
      <c r="E10" s="39" t="inlineStr">
        <is>
          <t>Moderate</t>
        </is>
      </c>
    </row>
    <row r="11">
      <c r="A11" s="39" t="inlineStr">
        <is>
          <t>South Indian cuisine</t>
        </is>
      </c>
      <c r="B11" s="39" t="inlineStr">
        <is>
          <t>c_South_Indian</t>
        </is>
      </c>
      <c r="C11" s="40" t="n">
        <v>5.859439894754257</v>
      </c>
      <c r="D11" s="40" t="n">
        <v>1.349101505143497</v>
      </c>
      <c r="E11" s="39" t="inlineStr">
        <is>
          <t>Moderate</t>
        </is>
      </c>
    </row>
    <row r="12">
      <c r="A12" s="39" t="inlineStr">
        <is>
          <t>Location</t>
        </is>
      </c>
      <c r="B12" s="39" t="inlineStr">
        <is>
          <t>location</t>
        </is>
      </c>
      <c r="C12" s="40" t="n">
        <v>5.60014984332353</v>
      </c>
      <c r="D12" s="40" t="n">
        <v>3.447282623652929</v>
      </c>
      <c r="E12" s="39" t="inlineStr">
        <is>
          <t>Moderate</t>
        </is>
      </c>
    </row>
    <row r="13">
      <c r="A13" s="39" t="inlineStr">
        <is>
          <t>Online ordering</t>
        </is>
      </c>
      <c r="B13" s="39" t="inlineStr">
        <is>
          <t>online_order</t>
        </is>
      </c>
      <c r="C13" s="40" t="n">
        <v>4.935823394528869</v>
      </c>
      <c r="D13" s="40" t="n">
        <v>1.593638923734718</v>
      </c>
      <c r="E13" s="39" t="inlineStr">
        <is>
          <t>Minor</t>
        </is>
      </c>
    </row>
    <row r="14">
      <c r="A14" s="39" t="inlineStr">
        <is>
          <t>Chinese cuisine</t>
        </is>
      </c>
      <c r="B14" s="39" t="inlineStr">
        <is>
          <t>c_Chinese</t>
        </is>
      </c>
      <c r="C14" s="40" t="n">
        <v>4.875388807284011</v>
      </c>
      <c r="D14" s="40" t="n">
        <v>1.493248446690019</v>
      </c>
      <c r="E14" s="39" t="inlineStr">
        <is>
          <t>Minor</t>
        </is>
      </c>
    </row>
    <row r="15">
      <c r="A15" s="39" t="inlineStr">
        <is>
          <t>North Indian cuisine</t>
        </is>
      </c>
      <c r="B15" s="39" t="inlineStr">
        <is>
          <t>c_North_Indian</t>
        </is>
      </c>
      <c r="C15" s="40" t="n">
        <v>4.124882770358164</v>
      </c>
      <c r="D15" s="40" t="n">
        <v>1.141034224910994</v>
      </c>
      <c r="E15" s="39" t="inlineStr">
        <is>
          <t>Minor</t>
        </is>
      </c>
    </row>
    <row r="16">
      <c r="A16" s="39" t="inlineStr">
        <is>
          <t>Italian cuisine</t>
        </is>
      </c>
      <c r="B16" s="39" t="inlineStr">
        <is>
          <t>c_Italian</t>
        </is>
      </c>
      <c r="C16" s="40" t="n">
        <v>4.116346052779517</v>
      </c>
      <c r="D16" s="40" t="n">
        <v>0.9814567654582249</v>
      </c>
      <c r="E16" s="39" t="inlineStr">
        <is>
          <t>Minor</t>
        </is>
      </c>
    </row>
    <row r="17">
      <c r="A17" s="39" t="inlineStr">
        <is>
          <t>Street Food cuisine</t>
        </is>
      </c>
      <c r="B17" s="39" t="inlineStr">
        <is>
          <t>c_Street_Food</t>
        </is>
      </c>
      <c r="C17" s="40" t="n">
        <v>3.871272505902515</v>
      </c>
      <c r="D17" s="40" t="n">
        <v>0.8835404590868208</v>
      </c>
      <c r="E17" s="39" t="inlineStr">
        <is>
          <t>Minor</t>
        </is>
      </c>
    </row>
    <row r="18">
      <c r="A18" s="39" t="inlineStr">
        <is>
          <t>Fast Food cuisine</t>
        </is>
      </c>
      <c r="B18" s="39" t="inlineStr">
        <is>
          <t>c_Fast_Food</t>
        </is>
      </c>
      <c r="C18" s="40" t="n">
        <v>3.130016274384551</v>
      </c>
      <c r="D18" s="40" t="n">
        <v>1.011657703182331</v>
      </c>
      <c r="E18" s="39" t="inlineStr">
        <is>
          <t>Minor</t>
        </is>
      </c>
    </row>
    <row r="19">
      <c r="A19" s="39" t="inlineStr">
        <is>
          <t>Biryani cuisine</t>
        </is>
      </c>
      <c r="B19" s="39" t="inlineStr">
        <is>
          <t>c_Biryani</t>
        </is>
      </c>
      <c r="C19" s="40" t="n">
        <v>1.755477571818335</v>
      </c>
      <c r="D19" s="40" t="n">
        <v>0.7097835020163408</v>
      </c>
      <c r="E19" s="39" t="inlineStr">
        <is>
          <t>Minor</t>
        </is>
      </c>
    </row>
    <row r="20">
      <c r="A20" s="39" t="inlineStr">
        <is>
          <t>Beverages cuisine</t>
        </is>
      </c>
      <c r="B20" s="39" t="inlineStr">
        <is>
          <t>c_Beverages</t>
        </is>
      </c>
      <c r="C20" s="40" t="n">
        <v>1.686751591120406</v>
      </c>
      <c r="D20" s="40" t="n">
        <v>0.7447983880798952</v>
      </c>
      <c r="E20" s="39" t="inlineStr">
        <is>
          <t>Minor</t>
        </is>
      </c>
    </row>
    <row r="21">
      <c r="A21" s="39" t="inlineStr">
        <is>
          <t>Desserts cuisine</t>
        </is>
      </c>
      <c r="B21" s="39" t="inlineStr">
        <is>
          <t>c_Desserts</t>
        </is>
      </c>
      <c r="C21" s="40" t="n">
        <v>1.394285863868356</v>
      </c>
      <c r="D21" s="40" t="n">
        <v>0.3686678632465172</v>
      </c>
      <c r="E21" s="39" t="inlineStr">
        <is>
          <t>Minor</t>
        </is>
      </c>
    </row>
    <row r="22">
      <c r="A22" s="39" t="inlineStr">
        <is>
          <t>Bakery cuisine</t>
        </is>
      </c>
      <c r="B22" s="39" t="inlineStr">
        <is>
          <t>c_Bakery</t>
        </is>
      </c>
      <c r="C22" s="40" t="n">
        <v>0.6410032989608808</v>
      </c>
      <c r="D22" s="40" t="n">
        <v>0.4162784421223514</v>
      </c>
      <c r="E22" s="39" t="inlineStr">
        <is>
          <t>Negligible (within noise)</t>
        </is>
      </c>
    </row>
    <row r="24">
      <c r="A24" s="69" t="inlineStr">
        <is>
          <t>• Each field is permuted as a whole (location = all 40 levels together), so the importance is per original input, not per one-hot column.</t>
        </is>
      </c>
    </row>
    <row r="25">
      <c r="A25" s="69" t="inlineStr">
        <is>
          <t>• Importance shows what the model relies on, not cause and effect.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style="27" min="1" max="1"/>
    <col width="34" customWidth="1" style="27" min="2" max="2"/>
    <col width="44" customWidth="1" style="27" min="3" max="3"/>
    <col width="70" customWidth="1" style="27" min="4" max="4"/>
  </cols>
  <sheetData>
    <row r="1">
      <c r="A1" s="59" t="inlineStr">
        <is>
          <t>Linear Regression (price) – assumption checks (statsmodels, zomato_price_train.tab)</t>
        </is>
      </c>
    </row>
    <row r="2">
      <c r="A2" t="inlineStr">
        <is>
          <t>OLS with one-hot inputs (first level of each field as base), n = 9,234, R² = 0.616.</t>
        </is>
      </c>
    </row>
    <row r="4">
      <c r="A4" s="36" t="inlineStr">
        <is>
          <t>Assumption</t>
        </is>
      </c>
      <c r="B4" s="36" t="inlineStr">
        <is>
          <t>Check</t>
        </is>
      </c>
      <c r="C4" s="36" t="inlineStr">
        <is>
          <t>Result</t>
        </is>
      </c>
      <c r="D4" s="36" t="inlineStr">
        <is>
          <t>Verdict</t>
        </is>
      </c>
    </row>
    <row r="5">
      <c r="A5" s="39" t="inlineStr">
        <is>
          <t>Linearity</t>
        </is>
      </c>
      <c r="B5" s="39" t="inlineStr">
        <is>
          <t>Ramsey RESET (powers 2–3)</t>
        </is>
      </c>
      <c r="C5" s="39" t="inlineStr">
        <is>
          <t>F = 446.0, p &lt; 0.001</t>
        </is>
      </c>
      <c r="D5" s="39" t="inlineStr">
        <is>
          <t>Violated: the straight-line form misses curvature.</t>
        </is>
      </c>
    </row>
    <row r="6">
      <c r="A6" s="39" t="inlineStr">
        <is>
          <t>Equal error spread</t>
        </is>
      </c>
      <c r="B6" s="39" t="inlineStr">
        <is>
          <t>Breusch–Pagan</t>
        </is>
      </c>
      <c r="C6" s="39" t="inlineStr">
        <is>
          <t>LM = 1981, p &lt; 0.001</t>
        </is>
      </c>
      <c r="D6" s="39" t="inlineStr">
        <is>
          <t>Violated: errors grow with the predicted price.</t>
        </is>
      </c>
    </row>
    <row r="7">
      <c r="A7" s="39" t="inlineStr">
        <is>
          <t>Equal error spread</t>
        </is>
      </c>
      <c r="B7" s="39" t="inlineStr">
        <is>
          <t>Residual SD by fitted-value decile</t>
        </is>
      </c>
      <c r="C7" s="39" t="inlineStr">
        <is>
          <t>₹118 (lowest decile) → ₹611 (highest)</t>
        </is>
      </c>
      <c r="D7" s="39" t="inlineStr">
        <is>
          <t>Violated: errors are 5.2× larger for expensive restaurants.</t>
        </is>
      </c>
    </row>
    <row r="8">
      <c r="A8" s="39" t="inlineStr">
        <is>
          <t>Normal errors</t>
        </is>
      </c>
      <c r="B8" s="39" t="inlineStr">
        <is>
          <t>Jarque–Bera</t>
        </is>
      </c>
      <c r="C8" s="39" t="inlineStr">
        <is>
          <t>JB = 266,298, p &lt; 0.001; skew 2.60, kurtosis 28.8</t>
        </is>
      </c>
      <c r="D8" s="39" t="inlineStr">
        <is>
          <t>Violated: heavy right tail (a few very expensive restaurants).</t>
        </is>
      </c>
    </row>
    <row r="9">
      <c r="A9" s="39" t="inlineStr">
        <is>
          <t>Multicollinearity</t>
        </is>
      </c>
      <c r="B9" s="39" t="inlineStr">
        <is>
          <t>GVIF^(1/(2·df)) per field (largest)</t>
        </is>
      </c>
      <c r="C9" s="39" t="inlineStr">
        <is>
          <t>Cafe cuisine: 2.46</t>
        </is>
      </c>
      <c r="D9" s="39" t="inlineStr">
        <is>
          <t>Concern for Cafe cuisine only (above 2.24 ≈ VIF 5; Cafe cuisine overlaps with type = Cafe). Other fields are fine.</t>
        </is>
      </c>
    </row>
    <row r="10">
      <c r="A10" s="39" t="inlineStr">
        <is>
          <t>Conclusion</t>
        </is>
      </c>
      <c r="B10" s="39" t="inlineStr">
        <is>
          <t>Model choice</t>
        </is>
      </c>
      <c r="C10" s="39" t="inlineStr"/>
      <c r="D10" s="39" t="inlineStr">
        <is>
          <t>Linear Regression's assumptions fail, and Random Forest needs none of them; CV R² 0.73 vs 0.61. Random Forest is the final price model.</t>
        </is>
      </c>
    </row>
    <row r="12">
      <c r="A12" s="60" t="inlineStr">
        <is>
          <t>Residual spread by fitted-value decile</t>
        </is>
      </c>
    </row>
    <row r="13">
      <c r="A13" s="36" t="inlineStr">
        <is>
          <t>Decile</t>
        </is>
      </c>
      <c r="B13" s="36" t="inlineStr">
        <is>
          <t>Mean fitted (₹)</t>
        </is>
      </c>
      <c r="C13" s="36" t="inlineStr">
        <is>
          <t>Residual SD (₹)</t>
        </is>
      </c>
    </row>
    <row r="14">
      <c r="A14" s="39" t="n">
        <v>1</v>
      </c>
      <c r="B14" s="61" t="n">
        <v>228.9034238883743</v>
      </c>
      <c r="C14" s="61" t="n">
        <v>118.0560035431704</v>
      </c>
    </row>
    <row r="15">
      <c r="A15" s="39" t="n">
        <v>2</v>
      </c>
      <c r="B15" s="61" t="n">
        <v>285.8160152118925</v>
      </c>
      <c r="C15" s="61" t="n">
        <v>122.4271036853293</v>
      </c>
    </row>
    <row r="16">
      <c r="A16" s="39" t="n">
        <v>3</v>
      </c>
      <c r="B16" s="61" t="n">
        <v>319.3053306275906</v>
      </c>
      <c r="C16" s="61" t="n">
        <v>126.7939243777429</v>
      </c>
    </row>
    <row r="17">
      <c r="A17" s="39" t="n">
        <v>4</v>
      </c>
      <c r="B17" s="61" t="n">
        <v>347.1999533376019</v>
      </c>
      <c r="C17" s="61" t="n">
        <v>141.3913304726181</v>
      </c>
    </row>
    <row r="18">
      <c r="A18" s="39" t="n">
        <v>5</v>
      </c>
      <c r="B18" s="61" t="n">
        <v>379.8176724101716</v>
      </c>
      <c r="C18" s="61" t="n">
        <v>144.5354737330382</v>
      </c>
    </row>
    <row r="19">
      <c r="A19" s="39" t="n">
        <v>6</v>
      </c>
      <c r="B19" s="61" t="n">
        <v>438.5449527573253</v>
      </c>
      <c r="C19" s="61" t="n">
        <v>153.7949598248083</v>
      </c>
    </row>
    <row r="20">
      <c r="A20" s="39" t="n">
        <v>7</v>
      </c>
      <c r="B20" s="61" t="n">
        <v>541.3888690739622</v>
      </c>
      <c r="C20" s="61" t="n">
        <v>191.8403327695756</v>
      </c>
    </row>
    <row r="21">
      <c r="A21" s="39" t="n">
        <v>8</v>
      </c>
      <c r="B21" s="61" t="n">
        <v>641.4401066571768</v>
      </c>
      <c r="C21" s="61" t="n">
        <v>185.3145285184854</v>
      </c>
    </row>
    <row r="22">
      <c r="A22" s="39" t="n">
        <v>9</v>
      </c>
      <c r="B22" s="61" t="n">
        <v>835.5889987233986</v>
      </c>
      <c r="C22" s="61" t="n">
        <v>369.2921389390875</v>
      </c>
    </row>
    <row r="23">
      <c r="A23" s="39" t="n">
        <v>10</v>
      </c>
      <c r="B23" s="61" t="n">
        <v>1350.754130301376</v>
      </c>
      <c r="C23" s="61" t="n">
        <v>610.6882685364399</v>
      </c>
    </row>
    <row r="25">
      <c r="A25" s="60" t="inlineStr">
        <is>
          <t>Generalised VIF per input field</t>
        </is>
      </c>
    </row>
    <row r="26">
      <c r="A26" s="36" t="inlineStr">
        <is>
          <t>Input field</t>
        </is>
      </c>
      <c r="B26" s="36" t="inlineStr">
        <is>
          <t>df</t>
        </is>
      </c>
      <c r="C26" s="36" t="inlineStr">
        <is>
          <t>GVIF</t>
        </is>
      </c>
      <c r="D26" s="36" t="inlineStr">
        <is>
          <t>GVIF^(1/(2·df))</t>
        </is>
      </c>
    </row>
    <row r="27">
      <c r="A27" s="39" t="inlineStr">
        <is>
          <t>Cafe cuisine</t>
        </is>
      </c>
      <c r="B27" s="61" t="n">
        <v>1</v>
      </c>
      <c r="C27" s="62" t="n">
        <v>6.065892719874909</v>
      </c>
      <c r="D27" s="62" t="n">
        <v>2.462903311109657</v>
      </c>
    </row>
    <row r="28">
      <c r="A28" s="39" t="inlineStr">
        <is>
          <t>Bakery cuisine</t>
        </is>
      </c>
      <c r="B28" s="61" t="n">
        <v>1</v>
      </c>
      <c r="C28" s="62" t="n">
        <v>2.590395868342953</v>
      </c>
      <c r="D28" s="62" t="n">
        <v>1.60947067955367</v>
      </c>
    </row>
    <row r="29">
      <c r="A29" s="39" t="inlineStr">
        <is>
          <t>Number of cuisines</t>
        </is>
      </c>
      <c r="B29" s="61" t="n">
        <v>1</v>
      </c>
      <c r="C29" s="62" t="n">
        <v>2.380017523616915</v>
      </c>
      <c r="D29" s="62" t="n">
        <v>1.542730541480564</v>
      </c>
    </row>
    <row r="30">
      <c r="A30" s="39" t="inlineStr">
        <is>
          <t>Desserts cuisine</t>
        </is>
      </c>
      <c r="B30" s="61" t="n">
        <v>1</v>
      </c>
      <c r="C30" s="62" t="n">
        <v>2.040650171905326</v>
      </c>
      <c r="D30" s="62" t="n">
        <v>1.428513273268865</v>
      </c>
    </row>
    <row r="31">
      <c r="A31" s="39" t="inlineStr">
        <is>
          <t>Serves alcohol</t>
        </is>
      </c>
      <c r="B31" s="61" t="n">
        <v>1</v>
      </c>
      <c r="C31" s="62" t="n">
        <v>2.032793981743704</v>
      </c>
      <c r="D31" s="62" t="n">
        <v>1.425760843109287</v>
      </c>
    </row>
    <row r="32">
      <c r="A32" s="39" t="inlineStr">
        <is>
          <t>Chinese cuisine</t>
        </is>
      </c>
      <c r="B32" s="61" t="n">
        <v>1</v>
      </c>
      <c r="C32" s="62" t="n">
        <v>1.77241595743872</v>
      </c>
      <c r="D32" s="62" t="n">
        <v>1.331321132348886</v>
      </c>
    </row>
    <row r="33">
      <c r="A33" s="39" t="inlineStr">
        <is>
          <t>North Indian cuisine</t>
        </is>
      </c>
      <c r="B33" s="61" t="n">
        <v>1</v>
      </c>
      <c r="C33" s="62" t="n">
        <v>1.654990616936342</v>
      </c>
      <c r="D33" s="62" t="n">
        <v>1.286464386190439</v>
      </c>
    </row>
    <row r="34">
      <c r="A34" s="39" t="inlineStr">
        <is>
          <t>Beverages cuisine</t>
        </is>
      </c>
      <c r="B34" s="61" t="n">
        <v>1</v>
      </c>
      <c r="C34" s="62" t="n">
        <v>1.568283200147177</v>
      </c>
      <c r="D34" s="62" t="n">
        <v>1.25231114350515</v>
      </c>
    </row>
    <row r="35">
      <c r="A35" s="39" t="inlineStr">
        <is>
          <t>Restaurant type</t>
        </is>
      </c>
      <c r="B35" s="61" t="n">
        <v>11</v>
      </c>
      <c r="C35" s="62" t="n">
        <v>111.943924416662</v>
      </c>
      <c r="D35" s="62" t="n">
        <v>1.239185684416928</v>
      </c>
    </row>
    <row r="36">
      <c r="A36" s="39" t="inlineStr">
        <is>
          <t>Table booking</t>
        </is>
      </c>
      <c r="B36" s="61" t="n">
        <v>1</v>
      </c>
      <c r="C36" s="62" t="n">
        <v>1.523153581481611</v>
      </c>
      <c r="D36" s="62" t="n">
        <v>1.23416108408976</v>
      </c>
    </row>
    <row r="37">
      <c r="A37" s="39" t="inlineStr">
        <is>
          <t>Continental cuisine</t>
        </is>
      </c>
      <c r="B37" s="61" t="n">
        <v>1</v>
      </c>
      <c r="C37" s="62" t="n">
        <v>1.437846047980415</v>
      </c>
      <c r="D37" s="62" t="n">
        <v>1.199102184127948</v>
      </c>
    </row>
    <row r="38">
      <c r="A38" s="39" t="inlineStr">
        <is>
          <t>Fast Food cuisine</t>
        </is>
      </c>
      <c r="B38" s="61" t="n">
        <v>1</v>
      </c>
      <c r="C38" s="62" t="n">
        <v>1.35779869964708</v>
      </c>
      <c r="D38" s="62" t="n">
        <v>1.165246197010348</v>
      </c>
    </row>
    <row r="39">
      <c r="A39" s="39" t="inlineStr">
        <is>
          <t>Biryani cuisine</t>
        </is>
      </c>
      <c r="B39" s="61" t="n">
        <v>1</v>
      </c>
      <c r="C39" s="62" t="n">
        <v>1.293074325991491</v>
      </c>
      <c r="D39" s="62" t="n">
        <v>1.137134260319111</v>
      </c>
    </row>
    <row r="40">
      <c r="A40" s="39" t="inlineStr">
        <is>
          <t>Italian cuisine</t>
        </is>
      </c>
      <c r="B40" s="61" t="n">
        <v>1</v>
      </c>
      <c r="C40" s="62" t="n">
        <v>1.266791378598923</v>
      </c>
      <c r="D40" s="62" t="n">
        <v>1.125518271108436</v>
      </c>
    </row>
    <row r="41">
      <c r="A41" s="39" t="inlineStr">
        <is>
          <t>South Indian cuisine</t>
        </is>
      </c>
      <c r="B41" s="61" t="n">
        <v>1</v>
      </c>
      <c r="C41" s="62" t="n">
        <v>1.255465000214577</v>
      </c>
      <c r="D41" s="62" t="n">
        <v>1.120475345652271</v>
      </c>
    </row>
    <row r="42">
      <c r="A42" s="39" t="inlineStr">
        <is>
          <t>Street Food cuisine</t>
        </is>
      </c>
      <c r="B42" s="61" t="n">
        <v>1</v>
      </c>
      <c r="C42" s="62" t="n">
        <v>1.235210077537062</v>
      </c>
      <c r="D42" s="62" t="n">
        <v>1.111400052877928</v>
      </c>
    </row>
    <row r="43">
      <c r="A43" s="39" t="inlineStr">
        <is>
          <t>Online ordering</t>
        </is>
      </c>
      <c r="B43" s="61" t="n">
        <v>1</v>
      </c>
      <c r="C43" s="62" t="n">
        <v>1.120910546582419</v>
      </c>
      <c r="D43" s="62" t="n">
        <v>1.058730629849925</v>
      </c>
    </row>
    <row r="44">
      <c r="A44" s="39" t="inlineStr">
        <is>
          <t>Location</t>
        </is>
      </c>
      <c r="B44" s="61" t="n">
        <v>39</v>
      </c>
      <c r="C44" s="62" t="n">
        <v>1.434521194738566</v>
      </c>
      <c r="D44" s="62" t="n">
        <v>1.004636756787814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2026-10-26T05:35:28Z</dcterms:created>
  <dcterms:modified xsi:type="dcterms:W3CDTF">2026-10-26T09:28:21Z</dcterms:modified>
  <cp:revision>0</cp:revision>
</cp:coreProperties>
</file>